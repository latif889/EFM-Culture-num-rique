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02\Downloads\"/>
    </mc:Choice>
  </mc:AlternateContent>
  <xr:revisionPtr revIDLastSave="0" documentId="8_{C267F046-BB2A-4A6F-BED6-A5A1B8C6424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euil1" sheetId="2" r:id="rId1"/>
    <sheet name="front end" sheetId="3" r:id="rId2"/>
    <sheet name="Assurances_Auto" sheetId="1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" l="1"/>
  <c r="S2" i="1"/>
  <c r="T2" i="1"/>
  <c r="U2" i="1"/>
  <c r="V2" i="1"/>
  <c r="U11" i="1"/>
  <c r="N2" i="1"/>
  <c r="O2" i="1" s="1"/>
  <c r="P2" i="1" s="1"/>
  <c r="Q2" i="1" s="1"/>
  <c r="N3" i="1"/>
  <c r="N4" i="1"/>
  <c r="N5" i="1"/>
  <c r="N6" i="1"/>
  <c r="O6" i="1" s="1"/>
  <c r="P6" i="1" s="1"/>
  <c r="Q6" i="1" s="1"/>
  <c r="N7" i="1"/>
  <c r="O7" i="1" s="1"/>
  <c r="P7" i="1" s="1"/>
  <c r="Q7" i="1" s="1"/>
  <c r="N8" i="1"/>
  <c r="O8" i="1" s="1"/>
  <c r="P8" i="1" s="1"/>
  <c r="Q8" i="1" s="1"/>
  <c r="N9" i="1"/>
  <c r="O9" i="1" s="1"/>
  <c r="P9" i="1" s="1"/>
  <c r="Q9" i="1" s="1"/>
  <c r="N10" i="1"/>
  <c r="O10" i="1" s="1"/>
  <c r="P10" i="1" s="1"/>
  <c r="Q10" i="1" s="1"/>
  <c r="N11" i="1"/>
  <c r="N12" i="1"/>
  <c r="O12" i="1" s="1"/>
  <c r="P12" i="1" s="1"/>
  <c r="Q12" i="1" s="1"/>
  <c r="N13" i="1"/>
  <c r="O13" i="1" s="1"/>
  <c r="P13" i="1" s="1"/>
  <c r="Q13" i="1" s="1"/>
  <c r="N14" i="1"/>
  <c r="O14" i="1" s="1"/>
  <c r="P14" i="1" s="1"/>
  <c r="N15" i="1"/>
  <c r="O15" i="1" s="1"/>
  <c r="P15" i="1" s="1"/>
  <c r="N16" i="1"/>
  <c r="O16" i="1" s="1"/>
  <c r="P16" i="1" s="1"/>
  <c r="Q16" i="1" s="1"/>
  <c r="N17" i="1"/>
  <c r="O17" i="1" s="1"/>
  <c r="P17" i="1" s="1"/>
  <c r="N18" i="1"/>
  <c r="O18" i="1" s="1"/>
  <c r="P18" i="1" s="1"/>
  <c r="Q18" i="1" s="1"/>
  <c r="N19" i="1"/>
  <c r="O19" i="1" s="1"/>
  <c r="P19" i="1" s="1"/>
  <c r="Q19" i="1" s="1"/>
  <c r="N20" i="1"/>
  <c r="O20" i="1" s="1"/>
  <c r="P20" i="1" s="1"/>
  <c r="Q20" i="1" s="1"/>
  <c r="N21" i="1"/>
  <c r="O21" i="1" s="1"/>
  <c r="P21" i="1" s="1"/>
  <c r="Q21" i="1" s="1"/>
  <c r="N22" i="1"/>
  <c r="O22" i="1" s="1"/>
  <c r="P22" i="1" s="1"/>
  <c r="Q22" i="1" s="1"/>
  <c r="N23" i="1"/>
  <c r="O23" i="1" s="1"/>
  <c r="P23" i="1" s="1"/>
  <c r="Q23" i="1" s="1"/>
  <c r="N24" i="1"/>
  <c r="O24" i="1" s="1"/>
  <c r="P24" i="1" s="1"/>
  <c r="Q24" i="1" s="1"/>
  <c r="N25" i="1"/>
  <c r="O25" i="1" s="1"/>
  <c r="P25" i="1" s="1"/>
  <c r="Q25" i="1" s="1"/>
  <c r="N26" i="1"/>
  <c r="O26" i="1" s="1"/>
  <c r="P26" i="1" s="1"/>
  <c r="Q26" i="1" s="1"/>
  <c r="N27" i="1"/>
  <c r="O27" i="1" s="1"/>
  <c r="P27" i="1" s="1"/>
  <c r="N28" i="1"/>
  <c r="O28" i="1" s="1"/>
  <c r="P28" i="1" s="1"/>
  <c r="Q28" i="1" s="1"/>
  <c r="N29" i="1"/>
  <c r="O29" i="1" s="1"/>
  <c r="P29" i="1" s="1"/>
  <c r="Q29" i="1" s="1"/>
  <c r="N30" i="1"/>
  <c r="O30" i="1" s="1"/>
  <c r="P30" i="1" s="1"/>
  <c r="Q30" i="1" s="1"/>
  <c r="N31" i="1"/>
  <c r="O31" i="1" s="1"/>
  <c r="P31" i="1" s="1"/>
  <c r="Q31" i="1" s="1"/>
  <c r="N32" i="1"/>
  <c r="O32" i="1" s="1"/>
  <c r="P32" i="1" s="1"/>
  <c r="Q32" i="1" s="1"/>
  <c r="N33" i="1"/>
  <c r="O33" i="1" s="1"/>
  <c r="P33" i="1" s="1"/>
  <c r="Q33" i="1" s="1"/>
  <c r="N34" i="1"/>
  <c r="O34" i="1" s="1"/>
  <c r="P34" i="1" s="1"/>
  <c r="Q34" i="1" s="1"/>
  <c r="N35" i="1"/>
  <c r="O35" i="1" s="1"/>
  <c r="P35" i="1" s="1"/>
  <c r="Q35" i="1" s="1"/>
  <c r="N36" i="1"/>
  <c r="O36" i="1" s="1"/>
  <c r="P36" i="1" s="1"/>
  <c r="Q36" i="1" s="1"/>
  <c r="N37" i="1"/>
  <c r="O37" i="1" s="1"/>
  <c r="P37" i="1" s="1"/>
  <c r="N38" i="1"/>
  <c r="O38" i="1" s="1"/>
  <c r="P38" i="1" s="1"/>
  <c r="Q38" i="1" s="1"/>
  <c r="N39" i="1"/>
  <c r="O39" i="1" s="1"/>
  <c r="P39" i="1" s="1"/>
  <c r="Q39" i="1" s="1"/>
  <c r="N40" i="1"/>
  <c r="O40" i="1" s="1"/>
  <c r="P40" i="1" s="1"/>
  <c r="Q40" i="1" s="1"/>
  <c r="N41" i="1"/>
  <c r="O41" i="1" s="1"/>
  <c r="P41" i="1" s="1"/>
  <c r="Q41" i="1" s="1"/>
  <c r="O3" i="1"/>
  <c r="P3" i="1" s="1"/>
  <c r="Q3" i="1" s="1"/>
  <c r="O4" i="1"/>
  <c r="P4" i="1" s="1"/>
  <c r="Q4" i="1" s="1"/>
  <c r="O5" i="1"/>
  <c r="P5" i="1" s="1"/>
  <c r="Q5" i="1" s="1"/>
  <c r="O11" i="1"/>
  <c r="P11" i="1" s="1"/>
  <c r="Q11" i="1" s="1"/>
  <c r="Q15" i="1" l="1"/>
  <c r="R15" i="1"/>
  <c r="Q27" i="1"/>
  <c r="R27" i="1"/>
  <c r="R26" i="1"/>
  <c r="Q14" i="1"/>
  <c r="R14" i="1"/>
  <c r="Q37" i="1"/>
  <c r="R37" i="1"/>
  <c r="Q17" i="1"/>
  <c r="R17" i="1"/>
  <c r="R18" i="1"/>
  <c r="R41" i="1"/>
  <c r="R33" i="1"/>
  <c r="R25" i="1"/>
  <c r="R9" i="1"/>
  <c r="R10" i="1"/>
  <c r="R40" i="1"/>
  <c r="R32" i="1"/>
  <c r="R24" i="1"/>
  <c r="R16" i="1"/>
  <c r="R8" i="1"/>
  <c r="R39" i="1"/>
  <c r="R31" i="1"/>
  <c r="R23" i="1"/>
  <c r="R7" i="1"/>
  <c r="R2" i="1"/>
  <c r="R38" i="1"/>
  <c r="R30" i="1"/>
  <c r="R22" i="1"/>
  <c r="R6" i="1"/>
  <c r="R34" i="1"/>
  <c r="R29" i="1"/>
  <c r="R21" i="1"/>
  <c r="R13" i="1"/>
  <c r="R5" i="1"/>
  <c r="R36" i="1"/>
  <c r="R28" i="1"/>
  <c r="R20" i="1"/>
  <c r="R12" i="1"/>
  <c r="R4" i="1"/>
  <c r="R35" i="1"/>
  <c r="R19" i="1"/>
  <c r="R11" i="1"/>
  <c r="R3" i="1"/>
</calcChain>
</file>

<file path=xl/sharedStrings.xml><?xml version="1.0" encoding="utf-8"?>
<sst xmlns="http://schemas.openxmlformats.org/spreadsheetml/2006/main" count="349" uniqueCount="174">
  <si>
    <t>ID_Client</t>
  </si>
  <si>
    <t>Nom</t>
  </si>
  <si>
    <t>Prénom</t>
  </si>
  <si>
    <t>CIN</t>
  </si>
  <si>
    <t>Ville</t>
  </si>
  <si>
    <t>Type_Vehicule</t>
  </si>
  <si>
    <t>Marque</t>
  </si>
  <si>
    <t>Année_Vehicule</t>
  </si>
  <si>
    <t>Valeur_Vehicule</t>
  </si>
  <si>
    <t>Type_Assurance</t>
  </si>
  <si>
    <t>Date_Souscription</t>
  </si>
  <si>
    <t>Durée</t>
  </si>
  <si>
    <t>Prime_Base</t>
  </si>
  <si>
    <t>Taux_Risque</t>
  </si>
  <si>
    <t>Montant_Risque</t>
  </si>
  <si>
    <t>Prime_Totale</t>
  </si>
  <si>
    <t>Statut_Client</t>
  </si>
  <si>
    <t>El Amrani</t>
  </si>
  <si>
    <t>Youssef</t>
  </si>
  <si>
    <t>AB00001</t>
  </si>
  <si>
    <t>Ouarzazate</t>
  </si>
  <si>
    <t>Moto</t>
  </si>
  <si>
    <t>Renault</t>
  </si>
  <si>
    <t>Tiers+</t>
  </si>
  <si>
    <t>Ait Lahcen</t>
  </si>
  <si>
    <t>Fatima</t>
  </si>
  <si>
    <t>AB00002</t>
  </si>
  <si>
    <t>Camion</t>
  </si>
  <si>
    <t>Toyota</t>
  </si>
  <si>
    <t>Tous Risques</t>
  </si>
  <si>
    <t>Benali</t>
  </si>
  <si>
    <t>Ahmed</t>
  </si>
  <si>
    <t>AB00003</t>
  </si>
  <si>
    <t>Marrakech</t>
  </si>
  <si>
    <t>Voiture</t>
  </si>
  <si>
    <t>Hyundai</t>
  </si>
  <si>
    <t>Tiers</t>
  </si>
  <si>
    <t>El Idrissi</t>
  </si>
  <si>
    <t>Salma</t>
  </si>
  <si>
    <t>AB00004</t>
  </si>
  <si>
    <t>Rabat</t>
  </si>
  <si>
    <t>Ford</t>
  </si>
  <si>
    <t>Chraibi</t>
  </si>
  <si>
    <t>Mohamed</t>
  </si>
  <si>
    <t>AB00005</t>
  </si>
  <si>
    <t>Casablanca</t>
  </si>
  <si>
    <t>Peugeot</t>
  </si>
  <si>
    <t>Tahiri</t>
  </si>
  <si>
    <t>Khadija</t>
  </si>
  <si>
    <t>AB00006</t>
  </si>
  <si>
    <t>Agadir</t>
  </si>
  <si>
    <t>Dacia</t>
  </si>
  <si>
    <t>Bennani</t>
  </si>
  <si>
    <t>Omar</t>
  </si>
  <si>
    <t>AB00007</t>
  </si>
  <si>
    <t>El Fassi</t>
  </si>
  <si>
    <t>Imane</t>
  </si>
  <si>
    <t>AB00008</t>
  </si>
  <si>
    <t>Fes</t>
  </si>
  <si>
    <t>Alaoui</t>
  </si>
  <si>
    <t>Hassan</t>
  </si>
  <si>
    <t>AB00009</t>
  </si>
  <si>
    <t>Zerouali</t>
  </si>
  <si>
    <t>Nadia</t>
  </si>
  <si>
    <t>AB00010</t>
  </si>
  <si>
    <t>Skalli</t>
  </si>
  <si>
    <t>Abdelilah</t>
  </si>
  <si>
    <t>AB00011</t>
  </si>
  <si>
    <t>Raji</t>
  </si>
  <si>
    <t>Siham</t>
  </si>
  <si>
    <t>AB00012</t>
  </si>
  <si>
    <t>Ouahbi</t>
  </si>
  <si>
    <t>Anas</t>
  </si>
  <si>
    <t>AB00013</t>
  </si>
  <si>
    <t>Amine</t>
  </si>
  <si>
    <t>Soukaina</t>
  </si>
  <si>
    <t>AB00014</t>
  </si>
  <si>
    <t>Mouline</t>
  </si>
  <si>
    <t>Rachid</t>
  </si>
  <si>
    <t>AB00015</t>
  </si>
  <si>
    <t>Lahlou</t>
  </si>
  <si>
    <t>Sara</t>
  </si>
  <si>
    <t>AB00016</t>
  </si>
  <si>
    <t>Kabbaj</t>
  </si>
  <si>
    <t>Yassine</t>
  </si>
  <si>
    <t>AB00017</t>
  </si>
  <si>
    <t>Bouzidi</t>
  </si>
  <si>
    <t>Amina</t>
  </si>
  <si>
    <t>AB00018</t>
  </si>
  <si>
    <t>El Mansouri</t>
  </si>
  <si>
    <t>Karim</t>
  </si>
  <si>
    <t>AB00019</t>
  </si>
  <si>
    <t>Haddad</t>
  </si>
  <si>
    <t>Latifa</t>
  </si>
  <si>
    <t>AB00020</t>
  </si>
  <si>
    <t>Berrada</t>
  </si>
  <si>
    <t>Ayoub</t>
  </si>
  <si>
    <t>AB00021</t>
  </si>
  <si>
    <t>Sbaai</t>
  </si>
  <si>
    <t>Hanane</t>
  </si>
  <si>
    <t>AB00022</t>
  </si>
  <si>
    <t>Ghazali</t>
  </si>
  <si>
    <t>Mehdi</t>
  </si>
  <si>
    <t>AB00023</t>
  </si>
  <si>
    <t>Benkirane</t>
  </si>
  <si>
    <t>Samir</t>
  </si>
  <si>
    <t>AB00024</t>
  </si>
  <si>
    <t>El Khatib</t>
  </si>
  <si>
    <t>Meriem</t>
  </si>
  <si>
    <t>AB00025</t>
  </si>
  <si>
    <t>Azizi</t>
  </si>
  <si>
    <t>Hamza</t>
  </si>
  <si>
    <t>AB00026</t>
  </si>
  <si>
    <t>Raiss</t>
  </si>
  <si>
    <t>Nour</t>
  </si>
  <si>
    <t>AB00027</t>
  </si>
  <si>
    <t>Fadili</t>
  </si>
  <si>
    <t>Abdelkader</t>
  </si>
  <si>
    <t>AB00028</t>
  </si>
  <si>
    <t>Kouhen</t>
  </si>
  <si>
    <t>Lina</t>
  </si>
  <si>
    <t>AB00029</t>
  </si>
  <si>
    <t>Smires</t>
  </si>
  <si>
    <t>Younes</t>
  </si>
  <si>
    <t>AB00030</t>
  </si>
  <si>
    <t>Bounou</t>
  </si>
  <si>
    <t>Ikram</t>
  </si>
  <si>
    <t>AB00031</t>
  </si>
  <si>
    <t>El Hachimi</t>
  </si>
  <si>
    <t>Said</t>
  </si>
  <si>
    <t>AB00032</t>
  </si>
  <si>
    <t>Zayani</t>
  </si>
  <si>
    <t>Rania</t>
  </si>
  <si>
    <t>AB00033</t>
  </si>
  <si>
    <t>Belaid</t>
  </si>
  <si>
    <t>Yassir</t>
  </si>
  <si>
    <t>AB00034</t>
  </si>
  <si>
    <t>Ouhmid</t>
  </si>
  <si>
    <t>Malika</t>
  </si>
  <si>
    <t>AB00035</t>
  </si>
  <si>
    <t>Hami</t>
  </si>
  <si>
    <t>Reda</t>
  </si>
  <si>
    <t>AB00036</t>
  </si>
  <si>
    <t>El Mouden</t>
  </si>
  <si>
    <t>Jamal</t>
  </si>
  <si>
    <t>AB00037</t>
  </si>
  <si>
    <t>Karrouchi</t>
  </si>
  <si>
    <t>Ilham</t>
  </si>
  <si>
    <t>AB00038</t>
  </si>
  <si>
    <t>Benchekroun</t>
  </si>
  <si>
    <t>Adil</t>
  </si>
  <si>
    <t>AB00039</t>
  </si>
  <si>
    <t>Ait Brahim</t>
  </si>
  <si>
    <t>Naima</t>
  </si>
  <si>
    <t>AB00040</t>
  </si>
  <si>
    <t>nb_contrat</t>
  </si>
  <si>
    <t>nb_voiture</t>
  </si>
  <si>
    <t>clasmment</t>
  </si>
  <si>
    <t>Total primes – Ouarzazate</t>
  </si>
  <si>
    <t>Total primes – Camion</t>
  </si>
  <si>
    <t>ID</t>
  </si>
  <si>
    <t>nom</t>
  </si>
  <si>
    <t>prime_total</t>
  </si>
  <si>
    <t>Étiquettes de lignes</t>
  </si>
  <si>
    <t>(vide)</t>
  </si>
  <si>
    <t>Total général</t>
  </si>
  <si>
    <t>Somme de Prime_Totale</t>
  </si>
  <si>
    <t>Nombre de ID_Client</t>
  </si>
  <si>
    <t>Moyenne de Prime_Totale</t>
  </si>
  <si>
    <t>VIP</t>
  </si>
  <si>
    <t>Premium</t>
  </si>
  <si>
    <t>Nombre de Nom</t>
  </si>
  <si>
    <t>Nombre de Prénom</t>
  </si>
  <si>
    <t>janv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</si>
</sst>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pivotButton="1"/>
    <xf numFmtId="0" fontId="0" fillId="3" borderId="0" xfId="0" applyFill="1"/>
    <xf numFmtId="0" fontId="0" fillId="3" borderId="0" xfId="0" applyFill="1" applyBorder="1"/>
    <xf numFmtId="0" fontId="0" fillId="3" borderId="2" xfId="0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0" fillId="4" borderId="0" xfId="0" applyFill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164" fontId="0" fillId="5" borderId="1" xfId="0" applyNumberFormat="1" applyFill="1" applyBorder="1" applyAlignment="1">
      <alignment horizontal="center"/>
    </xf>
    <xf numFmtId="9" fontId="0" fillId="5" borderId="1" xfId="1" applyFont="1" applyFill="1" applyBorder="1" applyAlignment="1">
      <alignment horizontal="center"/>
    </xf>
    <xf numFmtId="0" fontId="0" fillId="5" borderId="1" xfId="0" applyFill="1" applyBorder="1"/>
    <xf numFmtId="0" fontId="0" fillId="5" borderId="0" xfId="0" applyFill="1"/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B944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[EFM.xlsx]Feuil1!Tableau croisé dynamique1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rgbClr val="C0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solidFill>
            <a:srgbClr val="C0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AE2-470E-B40B-ED0101F2809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6AE2-470E-B40B-ED0101F2809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AE2-470E-B40B-ED0101F28094}"/>
              </c:ext>
            </c:extLst>
          </c:dPt>
          <c:cat>
            <c:strRef>
              <c:f>Feuil1!$A$4:$A$8</c:f>
              <c:strCache>
                <c:ptCount val="4"/>
                <c:pt idx="0">
                  <c:v>Tiers</c:v>
                </c:pt>
                <c:pt idx="1">
                  <c:v>Tiers+</c:v>
                </c:pt>
                <c:pt idx="2">
                  <c:v>Tous Risques</c:v>
                </c:pt>
                <c:pt idx="3">
                  <c:v>(blank)</c:v>
                </c:pt>
              </c:strCache>
            </c:strRef>
          </c:cat>
          <c:val>
            <c:numRef>
              <c:f>Feuil1!$B$4:$B$8</c:f>
              <c:numCache>
                <c:formatCode>General</c:formatCode>
                <c:ptCount val="4"/>
                <c:pt idx="0">
                  <c:v>95550</c:v>
                </c:pt>
                <c:pt idx="1">
                  <c:v>144270</c:v>
                </c:pt>
                <c:pt idx="2">
                  <c:v>152100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2-470E-B40B-ED0101F28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06472239"/>
        <c:axId val="1606474159"/>
      </c:barChart>
      <c:catAx>
        <c:axId val="160647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6474159"/>
        <c:crosses val="autoZero"/>
        <c:auto val="1"/>
        <c:lblAlgn val="ctr"/>
        <c:lblOffset val="100"/>
        <c:noMultiLvlLbl val="0"/>
      </c:catAx>
      <c:valAx>
        <c:axId val="160647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647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[EFM.xlsx]Feuil1!Tableau croisé dynamique2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86981148633014"/>
          <c:y val="0.2471067341366191"/>
          <c:w val="0.6982756942616215"/>
          <c:h val="0.682967165127413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Feuil1!$C$12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Feuil1!$B$13:$B$20</c:f>
              <c:strCache>
                <c:ptCount val="7"/>
                <c:pt idx="0">
                  <c:v>Agadir</c:v>
                </c:pt>
                <c:pt idx="1">
                  <c:v>Casablanca</c:v>
                </c:pt>
                <c:pt idx="2">
                  <c:v>Fes</c:v>
                </c:pt>
                <c:pt idx="3">
                  <c:v>Marrakech</c:v>
                </c:pt>
                <c:pt idx="4">
                  <c:v>Ouarzazate</c:v>
                </c:pt>
                <c:pt idx="5">
                  <c:v>Rabat</c:v>
                </c:pt>
                <c:pt idx="6">
                  <c:v>(blank)</c:v>
                </c:pt>
              </c:strCache>
            </c:strRef>
          </c:cat>
          <c:val>
            <c:numRef>
              <c:f>Feuil1!$C$13:$C$20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5-46F8-9D22-998AF4A91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18629695"/>
        <c:axId val="1718630175"/>
      </c:barChart>
      <c:catAx>
        <c:axId val="1718629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8630175"/>
        <c:crosses val="autoZero"/>
        <c:auto val="1"/>
        <c:lblAlgn val="ctr"/>
        <c:lblOffset val="100"/>
        <c:noMultiLvlLbl val="0"/>
      </c:catAx>
      <c:valAx>
        <c:axId val="171863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862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[EFM.xlsx]Feuil1!Tableau croisé dynamique4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Feuil1!$E$3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66E-4F90-8C11-F984124CE7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66E-4F90-8C11-F984124CE779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66E-4F90-8C11-F984124CE77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66E-4F90-8C11-F984124CE779}"/>
              </c:ext>
            </c:extLst>
          </c:dPt>
          <c:cat>
            <c:strRef>
              <c:f>Feuil1!$D$4:$D$8</c:f>
              <c:strCache>
                <c:ptCount val="4"/>
                <c:pt idx="0">
                  <c:v>Camion</c:v>
                </c:pt>
                <c:pt idx="1">
                  <c:v>Moto</c:v>
                </c:pt>
                <c:pt idx="2">
                  <c:v>Voiture</c:v>
                </c:pt>
                <c:pt idx="3">
                  <c:v>(blank)</c:v>
                </c:pt>
              </c:strCache>
            </c:strRef>
          </c:cat>
          <c:val>
            <c:numRef>
              <c:f>Feuil1!$E$4:$E$8</c:f>
              <c:numCache>
                <c:formatCode>General</c:formatCode>
                <c:ptCount val="4"/>
                <c:pt idx="0">
                  <c:v>11700</c:v>
                </c:pt>
                <c:pt idx="1">
                  <c:v>10305</c:v>
                </c:pt>
                <c:pt idx="2">
                  <c:v>7350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6E-4F90-8C11-F984124CE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[EFM.xlsx]Feuil1!Tableau croisé dynamique5</c:name>
    <c:fmtId val="1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Feuil1!$F$13</c:f>
              <c:strCache>
                <c:ptCount val="1"/>
                <c:pt idx="0">
                  <c:v>Nombre de Prénom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Feuil1!$E$14:$E$17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(blank)</c:v>
                </c:pt>
              </c:strCache>
            </c:strRef>
          </c:cat>
          <c:val>
            <c:numRef>
              <c:f>Feuil1!$F$14:$F$17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E-4FC3-A051-DB95DF4AD985}"/>
            </c:ext>
          </c:extLst>
        </c:ser>
        <c:ser>
          <c:idx val="1"/>
          <c:order val="1"/>
          <c:tx>
            <c:strRef>
              <c:f>Feuil1!$G$13</c:f>
              <c:strCache>
                <c:ptCount val="1"/>
                <c:pt idx="0">
                  <c:v>Nombre de Nom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Feuil1!$E$14:$E$17</c:f>
              <c:strCache>
                <c:ptCount val="3"/>
                <c:pt idx="0">
                  <c:v>Premium</c:v>
                </c:pt>
                <c:pt idx="1">
                  <c:v>VIP</c:v>
                </c:pt>
                <c:pt idx="2">
                  <c:v>(blank)</c:v>
                </c:pt>
              </c:strCache>
            </c:strRef>
          </c:cat>
          <c:val>
            <c:numRef>
              <c:f>Feuil1!$G$14:$G$17</c:f>
              <c:numCache>
                <c:formatCode>General</c:formatCode>
                <c:ptCount val="3"/>
                <c:pt idx="0">
                  <c:v>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E-4FC3-A051-DB95DF4AD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916934319"/>
        <c:axId val="1916921839"/>
      </c:areaChart>
      <c:catAx>
        <c:axId val="191693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6921839"/>
        <c:crosses val="autoZero"/>
        <c:auto val="1"/>
        <c:lblAlgn val="ctr"/>
        <c:lblOffset val="100"/>
        <c:noMultiLvlLbl val="0"/>
      </c:catAx>
      <c:valAx>
        <c:axId val="19169218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693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[EFM.xlsx]Feuil1!Tableau croisé dynamique8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Feuil1!$I$21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Feuil1!$H$22:$H$24</c:f>
              <c:strCache>
                <c:ptCount val="2"/>
                <c:pt idx="0">
                  <c:v>(vide)</c:v>
                </c:pt>
                <c:pt idx="1">
                  <c:v>janv</c:v>
                </c:pt>
              </c:strCache>
            </c:strRef>
          </c:cat>
          <c:val>
            <c:numRef>
              <c:f>Feuil1!$I$22:$I$24</c:f>
              <c:numCache>
                <c:formatCode>General</c:formatCode>
                <c:ptCount val="2"/>
                <c:pt idx="1">
                  <c:v>391920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C-4799-AD3A-6E3E0920F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3617647"/>
        <c:axId val="1713619087"/>
        <c:axId val="0"/>
      </c:bar3DChart>
      <c:catAx>
        <c:axId val="171361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3619087"/>
        <c:crosses val="autoZero"/>
        <c:auto val="1"/>
        <c:lblAlgn val="ctr"/>
        <c:lblOffset val="100"/>
        <c:noMultiLvlLbl val="0"/>
      </c:catAx>
      <c:valAx>
        <c:axId val="171361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361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[EFM.xlsx]Feuil1!Tableau croisé dynamique7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Feuil1!$F$22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Feuil1!$E$23:$E$28</c:f>
              <c:strCache>
                <c:ptCount val="5"/>
                <c:pt idx="0">
                  <c:v>Ait Brahim</c:v>
                </c:pt>
                <c:pt idx="1">
                  <c:v>El Hachimi</c:v>
                </c:pt>
                <c:pt idx="2">
                  <c:v>Karrouchi</c:v>
                </c:pt>
                <c:pt idx="3">
                  <c:v>Kouhen</c:v>
                </c:pt>
                <c:pt idx="4">
                  <c:v>Ouhmid</c:v>
                </c:pt>
              </c:strCache>
            </c:strRef>
          </c:cat>
          <c:val>
            <c:numRef>
              <c:f>Feuil1!$F$23:$F$28</c:f>
              <c:numCache>
                <c:formatCode>General</c:formatCode>
                <c:ptCount val="5"/>
                <c:pt idx="0">
                  <c:v>14400</c:v>
                </c:pt>
                <c:pt idx="1">
                  <c:v>14580</c:v>
                </c:pt>
                <c:pt idx="2">
                  <c:v>16020</c:v>
                </c:pt>
                <c:pt idx="3">
                  <c:v>13860</c:v>
                </c:pt>
                <c:pt idx="4">
                  <c:v>15300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8-42CE-93D8-CDDA91DF7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364090479"/>
        <c:axId val="1364387903"/>
      </c:areaChart>
      <c:catAx>
        <c:axId val="136409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4387903"/>
        <c:crosses val="autoZero"/>
        <c:auto val="1"/>
        <c:lblAlgn val="ctr"/>
        <c:lblOffset val="100"/>
        <c:noMultiLvlLbl val="0"/>
      </c:catAx>
      <c:valAx>
        <c:axId val="13643879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64090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70827</xdr:rowOff>
    </xdr:from>
    <xdr:to>
      <xdr:col>12</xdr:col>
      <xdr:colOff>268653</xdr:colOff>
      <xdr:row>28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E515BE-E97A-4869-B821-FD3A5DCC1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0</xdr:row>
      <xdr:rowOff>123825</xdr:rowOff>
    </xdr:from>
    <xdr:to>
      <xdr:col>2</xdr:col>
      <xdr:colOff>9525</xdr:colOff>
      <xdr:row>5</xdr:row>
      <xdr:rowOff>161925</xdr:rowOff>
    </xdr:to>
    <xdr:sp macro="" textlink="">
      <xdr:nvSpPr>
        <xdr:cNvPr id="4" name="Half Frame 3">
          <a:extLst>
            <a:ext uri="{FF2B5EF4-FFF2-40B4-BE49-F238E27FC236}">
              <a16:creationId xmlns:a16="http://schemas.microsoft.com/office/drawing/2014/main" id="{ADF487BD-4692-0131-7DE0-BEE829FF7283}"/>
            </a:ext>
          </a:extLst>
        </xdr:cNvPr>
        <xdr:cNvSpPr/>
      </xdr:nvSpPr>
      <xdr:spPr>
        <a:xfrm>
          <a:off x="123825" y="123825"/>
          <a:ext cx="1104900" cy="990600"/>
        </a:xfrm>
        <a:prstGeom prst="halfFrame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174380</xdr:colOff>
      <xdr:row>0</xdr:row>
      <xdr:rowOff>118208</xdr:rowOff>
    </xdr:from>
    <xdr:to>
      <xdr:col>28</xdr:col>
      <xdr:colOff>556357</xdr:colOff>
      <xdr:row>6</xdr:row>
      <xdr:rowOff>80108</xdr:rowOff>
    </xdr:to>
    <xdr:sp macro="" textlink="">
      <xdr:nvSpPr>
        <xdr:cNvPr id="5" name="Half Frame 4">
          <a:extLst>
            <a:ext uri="{FF2B5EF4-FFF2-40B4-BE49-F238E27FC236}">
              <a16:creationId xmlns:a16="http://schemas.microsoft.com/office/drawing/2014/main" id="{322F4BA8-46D5-4B80-B412-9A7C209B5CF1}"/>
            </a:ext>
          </a:extLst>
        </xdr:cNvPr>
        <xdr:cNvSpPr/>
      </xdr:nvSpPr>
      <xdr:spPr>
        <a:xfrm rot="5400000">
          <a:off x="16589130" y="189035"/>
          <a:ext cx="1134208" cy="992554"/>
        </a:xfrm>
        <a:prstGeom prst="halfFrame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421298</xdr:colOff>
      <xdr:row>16</xdr:row>
      <xdr:rowOff>61301</xdr:rowOff>
    </xdr:from>
    <xdr:to>
      <xdr:col>28</xdr:col>
      <xdr:colOff>592748</xdr:colOff>
      <xdr:row>33</xdr:row>
      <xdr:rowOff>127976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0F0482-9B7D-4D2E-BBDA-5674641BC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54708</xdr:colOff>
      <xdr:row>33</xdr:row>
      <xdr:rowOff>107461</xdr:rowOff>
    </xdr:from>
    <xdr:to>
      <xdr:col>12</xdr:col>
      <xdr:colOff>207597</xdr:colOff>
      <xdr:row>55</xdr:row>
      <xdr:rowOff>109903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DD11B2B-C718-4D60-85A0-FF8D486E1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387490</xdr:colOff>
      <xdr:row>42</xdr:row>
      <xdr:rowOff>552</xdr:rowOff>
    </xdr:from>
    <xdr:to>
      <xdr:col>28</xdr:col>
      <xdr:colOff>587513</xdr:colOff>
      <xdr:row>60</xdr:row>
      <xdr:rowOff>19602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9D8F59B-8E9E-473C-B746-9C0B8D14E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61</xdr:row>
      <xdr:rowOff>43472</xdr:rowOff>
    </xdr:from>
    <xdr:to>
      <xdr:col>12</xdr:col>
      <xdr:colOff>317499</xdr:colOff>
      <xdr:row>83</xdr:row>
      <xdr:rowOff>73269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A10AC8A-7EEC-43DA-A5B6-F7E30E3E4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24423</xdr:colOff>
      <xdr:row>70</xdr:row>
      <xdr:rowOff>121138</xdr:rowOff>
    </xdr:from>
    <xdr:to>
      <xdr:col>28</xdr:col>
      <xdr:colOff>601296</xdr:colOff>
      <xdr:row>93</xdr:row>
      <xdr:rowOff>85480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8D3D723-3FD5-4C97-8CF8-306585DC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548298</xdr:colOff>
      <xdr:row>5</xdr:row>
      <xdr:rowOff>32727</xdr:rowOff>
    </xdr:from>
    <xdr:to>
      <xdr:col>12</xdr:col>
      <xdr:colOff>223471</xdr:colOff>
      <xdr:row>8</xdr:row>
      <xdr:rowOff>23202</xdr:rowOff>
    </xdr:to>
    <xdr:sp macro="" textlink="">
      <xdr:nvSpPr>
        <xdr:cNvPr id="17" name="Wave 16">
          <a:extLst>
            <a:ext uri="{FF2B5EF4-FFF2-40B4-BE49-F238E27FC236}">
              <a16:creationId xmlns:a16="http://schemas.microsoft.com/office/drawing/2014/main" id="{F26C383F-6210-278A-AEEE-97A428DEDE02}"/>
            </a:ext>
          </a:extLst>
        </xdr:cNvPr>
        <xdr:cNvSpPr/>
      </xdr:nvSpPr>
      <xdr:spPr>
        <a:xfrm>
          <a:off x="3601183" y="1009650"/>
          <a:ext cx="3949211" cy="576629"/>
        </a:xfrm>
        <a:prstGeom prst="wave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419589</xdr:colOff>
      <xdr:row>13</xdr:row>
      <xdr:rowOff>39565</xdr:rowOff>
    </xdr:from>
    <xdr:to>
      <xdr:col>25</xdr:col>
      <xdr:colOff>94762</xdr:colOff>
      <xdr:row>16</xdr:row>
      <xdr:rowOff>30040</xdr:rowOff>
    </xdr:to>
    <xdr:sp macro="" textlink="">
      <xdr:nvSpPr>
        <xdr:cNvPr id="18" name="Wave 17">
          <a:extLst>
            <a:ext uri="{FF2B5EF4-FFF2-40B4-BE49-F238E27FC236}">
              <a16:creationId xmlns:a16="http://schemas.microsoft.com/office/drawing/2014/main" id="{4BF978D7-99BF-4D71-AB17-42EAADB3E897}"/>
            </a:ext>
          </a:extLst>
        </xdr:cNvPr>
        <xdr:cNvSpPr/>
      </xdr:nvSpPr>
      <xdr:spPr>
        <a:xfrm>
          <a:off x="11409974" y="2579565"/>
          <a:ext cx="3949211" cy="576629"/>
        </a:xfrm>
        <a:prstGeom prst="wave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588596</xdr:colOff>
      <xdr:row>30</xdr:row>
      <xdr:rowOff>95250</xdr:rowOff>
    </xdr:from>
    <xdr:to>
      <xdr:col>12</xdr:col>
      <xdr:colOff>264746</xdr:colOff>
      <xdr:row>33</xdr:row>
      <xdr:rowOff>85725</xdr:rowOff>
    </xdr:to>
    <xdr:sp macro="" textlink="">
      <xdr:nvSpPr>
        <xdr:cNvPr id="19" name="Wave 18">
          <a:extLst>
            <a:ext uri="{FF2B5EF4-FFF2-40B4-BE49-F238E27FC236}">
              <a16:creationId xmlns:a16="http://schemas.microsoft.com/office/drawing/2014/main" id="{E818EFC4-3871-4E1A-A7FB-FA7BC4CCB60F}"/>
            </a:ext>
          </a:extLst>
        </xdr:cNvPr>
        <xdr:cNvSpPr/>
      </xdr:nvSpPr>
      <xdr:spPr>
        <a:xfrm>
          <a:off x="3641481" y="5956788"/>
          <a:ext cx="3950188" cy="576629"/>
        </a:xfrm>
        <a:prstGeom prst="wave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373439</xdr:colOff>
      <xdr:row>38</xdr:row>
      <xdr:rowOff>187628</xdr:rowOff>
    </xdr:from>
    <xdr:to>
      <xdr:col>25</xdr:col>
      <xdr:colOff>49588</xdr:colOff>
      <xdr:row>41</xdr:row>
      <xdr:rowOff>178103</xdr:rowOff>
    </xdr:to>
    <xdr:sp macro="" textlink="">
      <xdr:nvSpPr>
        <xdr:cNvPr id="20" name="Wave 19">
          <a:extLst>
            <a:ext uri="{FF2B5EF4-FFF2-40B4-BE49-F238E27FC236}">
              <a16:creationId xmlns:a16="http://schemas.microsoft.com/office/drawing/2014/main" id="{E5C17111-7AB5-4FE6-9ABF-FDC96E91C6E2}"/>
            </a:ext>
          </a:extLst>
        </xdr:cNvPr>
        <xdr:cNvSpPr/>
      </xdr:nvSpPr>
      <xdr:spPr>
        <a:xfrm>
          <a:off x="11306482" y="7531541"/>
          <a:ext cx="3927889" cy="570258"/>
        </a:xfrm>
        <a:prstGeom prst="wave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590062</xdr:colOff>
      <xdr:row>58</xdr:row>
      <xdr:rowOff>36634</xdr:rowOff>
    </xdr:from>
    <xdr:to>
      <xdr:col>12</xdr:col>
      <xdr:colOff>266212</xdr:colOff>
      <xdr:row>61</xdr:row>
      <xdr:rowOff>22225</xdr:rowOff>
    </xdr:to>
    <xdr:sp macro="" textlink="">
      <xdr:nvSpPr>
        <xdr:cNvPr id="21" name="Wave 20">
          <a:extLst>
            <a:ext uri="{FF2B5EF4-FFF2-40B4-BE49-F238E27FC236}">
              <a16:creationId xmlns:a16="http://schemas.microsoft.com/office/drawing/2014/main" id="{51AAB239-C682-4657-82D6-11C9DAA9C87C}"/>
            </a:ext>
          </a:extLst>
        </xdr:cNvPr>
        <xdr:cNvSpPr/>
      </xdr:nvSpPr>
      <xdr:spPr>
        <a:xfrm>
          <a:off x="3642947" y="11368942"/>
          <a:ext cx="3950188" cy="571745"/>
        </a:xfrm>
        <a:prstGeom prst="wave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607152</xdr:colOff>
      <xdr:row>67</xdr:row>
      <xdr:rowOff>133508</xdr:rowOff>
    </xdr:from>
    <xdr:to>
      <xdr:col>24</xdr:col>
      <xdr:colOff>283302</xdr:colOff>
      <xdr:row>70</xdr:row>
      <xdr:rowOff>123983</xdr:rowOff>
    </xdr:to>
    <xdr:sp macro="" textlink="">
      <xdr:nvSpPr>
        <xdr:cNvPr id="22" name="Wave 21">
          <a:extLst>
            <a:ext uri="{FF2B5EF4-FFF2-40B4-BE49-F238E27FC236}">
              <a16:creationId xmlns:a16="http://schemas.microsoft.com/office/drawing/2014/main" id="{670385DD-3647-4791-944B-0F9F41C07E5A}"/>
            </a:ext>
          </a:extLst>
        </xdr:cNvPr>
        <xdr:cNvSpPr/>
      </xdr:nvSpPr>
      <xdr:spPr>
        <a:xfrm>
          <a:off x="10986960" y="13224277"/>
          <a:ext cx="3950188" cy="576629"/>
        </a:xfrm>
        <a:prstGeom prst="wave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575652</xdr:colOff>
      <xdr:row>5</xdr:row>
      <xdr:rowOff>159238</xdr:rowOff>
    </xdr:from>
    <xdr:to>
      <xdr:col>9</xdr:col>
      <xdr:colOff>547077</xdr:colOff>
      <xdr:row>7</xdr:row>
      <xdr:rowOff>73513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FFEA28B-8D84-AEF8-BC48-93F2E734F452}"/>
            </a:ext>
          </a:extLst>
        </xdr:cNvPr>
        <xdr:cNvSpPr txBox="1"/>
      </xdr:nvSpPr>
      <xdr:spPr>
        <a:xfrm>
          <a:off x="3628537" y="1136161"/>
          <a:ext cx="2413732" cy="305044"/>
        </a:xfrm>
        <a:prstGeom prst="rect">
          <a:avLst/>
        </a:prstGeom>
        <a:solidFill>
          <a:srgbClr val="B94441"/>
        </a:solidFill>
        <a:ln w="9525" cmpd="sng">
          <a:solidFill>
            <a:srgbClr val="B9444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tx1"/>
              </a:solidFill>
              <a:latin typeface="Amasis MT Pro Black" panose="020F0502020204030204" pitchFamily="18" charset="0"/>
            </a:rPr>
            <a:t>total des primes par Type_Assurance</a:t>
          </a:r>
        </a:p>
      </xdr:txBody>
    </xdr:sp>
    <xdr:clientData/>
  </xdr:twoCellAnchor>
  <xdr:twoCellAnchor>
    <xdr:from>
      <xdr:col>18</xdr:col>
      <xdr:colOff>437417</xdr:colOff>
      <xdr:row>13</xdr:row>
      <xdr:rowOff>168276</xdr:rowOff>
    </xdr:from>
    <xdr:to>
      <xdr:col>22</xdr:col>
      <xdr:colOff>380267</xdr:colOff>
      <xdr:row>15</xdr:row>
      <xdr:rowOff>39566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80DFD70-411F-5703-2AC4-AE5502B85586}"/>
            </a:ext>
          </a:extLst>
        </xdr:cNvPr>
        <xdr:cNvSpPr txBox="1"/>
      </xdr:nvSpPr>
      <xdr:spPr>
        <a:xfrm>
          <a:off x="11427802" y="2708276"/>
          <a:ext cx="2385157" cy="262059"/>
        </a:xfrm>
        <a:prstGeom prst="rect">
          <a:avLst/>
        </a:prstGeom>
        <a:solidFill>
          <a:srgbClr val="B94441"/>
        </a:solidFill>
        <a:ln w="9525" cmpd="sng">
          <a:solidFill>
            <a:srgbClr val="B9444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 Nombre de contrats par Ville</a:t>
          </a:r>
        </a:p>
      </xdr:txBody>
    </xdr:sp>
    <xdr:clientData/>
  </xdr:twoCellAnchor>
  <xdr:twoCellAnchor>
    <xdr:from>
      <xdr:col>6</xdr:col>
      <xdr:colOff>35839</xdr:colOff>
      <xdr:row>30</xdr:row>
      <xdr:rowOff>191737</xdr:rowOff>
    </xdr:from>
    <xdr:to>
      <xdr:col>9</xdr:col>
      <xdr:colOff>423756</xdr:colOff>
      <xdr:row>32</xdr:row>
      <xdr:rowOff>92776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0F30F02-0CDE-62DF-DA84-9A2E1301466F}"/>
            </a:ext>
          </a:extLst>
        </xdr:cNvPr>
        <xdr:cNvSpPr txBox="1"/>
      </xdr:nvSpPr>
      <xdr:spPr>
        <a:xfrm>
          <a:off x="3699301" y="6053275"/>
          <a:ext cx="2219647" cy="291809"/>
        </a:xfrm>
        <a:prstGeom prst="rect">
          <a:avLst/>
        </a:prstGeom>
        <a:solidFill>
          <a:srgbClr val="B94441"/>
        </a:solidFill>
        <a:ln w="9525" cmpd="sng">
          <a:solidFill>
            <a:srgbClr val="B9444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Prime moyenne parType_Vehicule</a:t>
          </a:r>
        </a:p>
      </xdr:txBody>
    </xdr:sp>
    <xdr:clientData/>
  </xdr:twoCellAnchor>
  <xdr:twoCellAnchor>
    <xdr:from>
      <xdr:col>18</xdr:col>
      <xdr:colOff>379826</xdr:colOff>
      <xdr:row>39</xdr:row>
      <xdr:rowOff>67877</xdr:rowOff>
    </xdr:from>
    <xdr:to>
      <xdr:col>22</xdr:col>
      <xdr:colOff>39647</xdr:colOff>
      <xdr:row>40</xdr:row>
      <xdr:rowOff>173023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4837834-231A-1C3B-3D33-CFC7E656FBFB}"/>
            </a:ext>
          </a:extLst>
        </xdr:cNvPr>
        <xdr:cNvSpPr txBox="1"/>
      </xdr:nvSpPr>
      <xdr:spPr>
        <a:xfrm>
          <a:off x="11370211" y="7687877"/>
          <a:ext cx="2102128" cy="300531"/>
        </a:xfrm>
        <a:prstGeom prst="rect">
          <a:avLst/>
        </a:prstGeom>
        <a:solidFill>
          <a:srgbClr val="B94441"/>
        </a:solidFill>
        <a:ln w="9525" cmpd="sng">
          <a:solidFill>
            <a:srgbClr val="B9444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 Répartition des clients par Statut</a:t>
          </a:r>
        </a:p>
      </xdr:txBody>
    </xdr:sp>
    <xdr:clientData/>
  </xdr:twoCellAnchor>
  <xdr:twoCellAnchor>
    <xdr:from>
      <xdr:col>6</xdr:col>
      <xdr:colOff>67242</xdr:colOff>
      <xdr:row>58</xdr:row>
      <xdr:rowOff>141622</xdr:rowOff>
    </xdr:from>
    <xdr:to>
      <xdr:col>9</xdr:col>
      <xdr:colOff>62801</xdr:colOff>
      <xdr:row>60</xdr:row>
      <xdr:rowOff>55032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4E1E07A-AC52-EDD4-8358-0BF619AB3B35}"/>
            </a:ext>
          </a:extLst>
        </xdr:cNvPr>
        <xdr:cNvSpPr txBox="1"/>
      </xdr:nvSpPr>
      <xdr:spPr>
        <a:xfrm>
          <a:off x="3730704" y="11473930"/>
          <a:ext cx="1827289" cy="304179"/>
        </a:xfrm>
        <a:prstGeom prst="rect">
          <a:avLst/>
        </a:prstGeom>
        <a:solidFill>
          <a:srgbClr val="B94441"/>
        </a:solidFill>
        <a:ln w="9525" cmpd="sng">
          <a:solidFill>
            <a:srgbClr val="B9444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Total des primes par Mois</a:t>
          </a:r>
        </a:p>
      </xdr:txBody>
    </xdr:sp>
    <xdr:clientData/>
  </xdr:twoCellAnchor>
  <xdr:twoCellAnchor>
    <xdr:from>
      <xdr:col>18</xdr:col>
      <xdr:colOff>36794</xdr:colOff>
      <xdr:row>68</xdr:row>
      <xdr:rowOff>61691</xdr:rowOff>
    </xdr:from>
    <xdr:to>
      <xdr:col>21</xdr:col>
      <xdr:colOff>189676</xdr:colOff>
      <xdr:row>69</xdr:row>
      <xdr:rowOff>154468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6AD39A7-861A-04BA-A3B5-EEBD6B3F2358}"/>
            </a:ext>
          </a:extLst>
        </xdr:cNvPr>
        <xdr:cNvSpPr txBox="1"/>
      </xdr:nvSpPr>
      <xdr:spPr>
        <a:xfrm>
          <a:off x="11027179" y="13347845"/>
          <a:ext cx="1984612" cy="288161"/>
        </a:xfrm>
        <a:prstGeom prst="rect">
          <a:avLst/>
        </a:prstGeom>
        <a:solidFill>
          <a:srgbClr val="B94441"/>
        </a:solidFill>
        <a:ln w="9525" cmpd="sng">
          <a:solidFill>
            <a:srgbClr val="B9444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Top 5 clients par Prime_Totale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1.434969907408" createdVersion="7" refreshedVersion="7" minRefreshableVersion="3" recordCount="41" xr:uid="{506FE435-67E6-4FA0-BA19-B3E60CBCF2B9}">
  <cacheSource type="worksheet">
    <worksheetSource ref="A1:V1048576" sheet="Assurances_Auto"/>
  </cacheSource>
  <cacheFields count="22">
    <cacheField name="ID_Client" numFmtId="0">
      <sharedItems containsString="0" containsBlank="1" containsNumber="1" containsInteger="1" minValue="1" maxValue="40"/>
    </cacheField>
    <cacheField name="Nom" numFmtId="0">
      <sharedItems containsBlank="1" count="41">
        <s v="El Amrani"/>
        <s v="Ait Lahcen"/>
        <s v="Benali"/>
        <s v="El Idrissi"/>
        <s v="Chraibi"/>
        <s v="Tahiri"/>
        <s v="Bennani"/>
        <s v="El Fassi"/>
        <s v="Alaoui"/>
        <s v="Zerouali"/>
        <s v="Skalli"/>
        <s v="Raji"/>
        <s v="Ouahbi"/>
        <s v="Amine"/>
        <s v="Mouline"/>
        <s v="Lahlou"/>
        <s v="Kabbaj"/>
        <s v="Bouzidi"/>
        <s v="El Mansouri"/>
        <s v="Haddad"/>
        <s v="Berrada"/>
        <s v="Sbaai"/>
        <s v="Ghazali"/>
        <s v="Benkirane"/>
        <s v="El Khatib"/>
        <s v="Azizi"/>
        <s v="Raiss"/>
        <s v="Fadili"/>
        <s v="Kouhen"/>
        <s v="Smires"/>
        <s v="Bounou"/>
        <s v="El Hachimi"/>
        <s v="Zayani"/>
        <s v="Belaid"/>
        <s v="Ouhmid"/>
        <s v="Hami"/>
        <s v="El Mouden"/>
        <s v="Karrouchi"/>
        <s v="Benchekroun"/>
        <s v="Ait Brahim"/>
        <m/>
      </sharedItems>
    </cacheField>
    <cacheField name="Prénom" numFmtId="0">
      <sharedItems containsBlank="1" count="41">
        <s v="Youssef"/>
        <s v="Fatima"/>
        <s v="Ahmed"/>
        <s v="Salma"/>
        <s v="Mohamed"/>
        <s v="Khadija"/>
        <s v="Omar"/>
        <s v="Imane"/>
        <s v="Hassan"/>
        <s v="Nadia"/>
        <s v="Abdelilah"/>
        <s v="Siham"/>
        <s v="Anas"/>
        <s v="Soukaina"/>
        <s v="Rachid"/>
        <s v="Sara"/>
        <s v="Yassine"/>
        <s v="Amina"/>
        <s v="Karim"/>
        <s v="Latifa"/>
        <s v="Ayoub"/>
        <s v="Hanane"/>
        <s v="Mehdi"/>
        <s v="Samir"/>
        <s v="Meriem"/>
        <s v="Hamza"/>
        <s v="Nour"/>
        <s v="Abdelkader"/>
        <s v="Lina"/>
        <s v="Younes"/>
        <s v="Ikram"/>
        <s v="Said"/>
        <s v="Rania"/>
        <s v="Yassir"/>
        <s v="Malika"/>
        <s v="Reda"/>
        <s v="Jamal"/>
        <s v="Ilham"/>
        <s v="Adil"/>
        <s v="Naima"/>
        <m/>
      </sharedItems>
    </cacheField>
    <cacheField name="CIN" numFmtId="0">
      <sharedItems containsBlank="1"/>
    </cacheField>
    <cacheField name="Ville" numFmtId="0">
      <sharedItems containsBlank="1" count="7">
        <s v="Ouarzazate"/>
        <s v="Marrakech"/>
        <s v="Rabat"/>
        <s v="Casablanca"/>
        <s v="Agadir"/>
        <s v="Fes"/>
        <m/>
      </sharedItems>
    </cacheField>
    <cacheField name="Type_Vehicule" numFmtId="0">
      <sharedItems containsBlank="1" count="4">
        <s v="Moto"/>
        <s v="Camion"/>
        <s v="Voiture"/>
        <m/>
      </sharedItems>
    </cacheField>
    <cacheField name="Marque" numFmtId="0">
      <sharedItems containsBlank="1"/>
    </cacheField>
    <cacheField name="Année_Vehicule" numFmtId="0">
      <sharedItems containsString="0" containsBlank="1" containsNumber="1" containsInteger="1" minValue="2010" maxValue="2023"/>
    </cacheField>
    <cacheField name="Valeur_Vehicule" numFmtId="0">
      <sharedItems containsString="0" containsBlank="1" containsNumber="1" containsInteger="1" minValue="93000" maxValue="210000"/>
    </cacheField>
    <cacheField name="Type_Assurance" numFmtId="0">
      <sharedItems containsBlank="1" count="4">
        <s v="Tiers+"/>
        <s v="Tous Risques"/>
        <s v="Tiers"/>
        <m/>
      </sharedItems>
    </cacheField>
    <cacheField name="Date_Souscription" numFmtId="0">
      <sharedItems containsNonDate="0" containsDate="1" containsString="0" containsBlank="1" minDate="2025-01-01T00:00:00" maxDate="2025-01-29T00:00:00" count="29"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01T00:00:00"/>
        <m/>
      </sharedItems>
      <fieldGroup base="10">
        <rangePr groupBy="months" startDate="2025-01-01T00:00:00" endDate="2025-01-29T00:00:00"/>
        <groupItems count="14">
          <s v="(vide)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9/01/2025"/>
        </groupItems>
      </fieldGroup>
    </cacheField>
    <cacheField name="Durée" numFmtId="0">
      <sharedItems containsString="0" containsBlank="1" containsNumber="1" containsInteger="1" minValue="12" maxValue="12"/>
    </cacheField>
    <cacheField name="Prime_Base" numFmtId="0">
      <sharedItems containsString="0" containsBlank="1" containsNumber="1" containsInteger="1" minValue="1560" maxValue="3900"/>
    </cacheField>
    <cacheField name="Taux_Risque" numFmtId="0">
      <sharedItems containsString="0" containsBlank="1" containsNumber="1" minValue="0.03" maxValue="0.06"/>
    </cacheField>
    <cacheField name="Montant_Risque" numFmtId="0">
      <sharedItems containsString="0" containsBlank="1" containsNumber="1" containsInteger="1" minValue="2970" maxValue="12240"/>
    </cacheField>
    <cacheField name="Prime_Totale" numFmtId="0">
      <sharedItems containsString="0" containsBlank="1" containsNumber="1" containsInteger="1" minValue="4650" maxValue="16020"/>
    </cacheField>
    <cacheField name="Statut_Client" numFmtId="0">
      <sharedItems containsBlank="1" count="3">
        <s v="VIP"/>
        <s v="Premium"/>
        <m/>
      </sharedItems>
    </cacheField>
    <cacheField name="clasmment" numFmtId="0">
      <sharedItems containsString="0" containsBlank="1" containsNumber="1" containsInteger="1" minValue="1" maxValue="38"/>
    </cacheField>
    <cacheField name="nb_contrat" numFmtId="0">
      <sharedItems containsString="0" containsBlank="1" containsNumber="1" containsInteger="1" minValue="13" maxValue="13"/>
    </cacheField>
    <cacheField name="nb_voiture" numFmtId="0">
      <sharedItems containsBlank="1" containsMixedTypes="1" containsNumber="1" containsInteger="1" minValue="13" maxValue="13"/>
    </cacheField>
    <cacheField name="Total primes – Ouarzazate" numFmtId="0">
      <sharedItems containsBlank="1" containsMixedTypes="1" containsNumber="1" containsInteger="1" minValue="3" maxValue="72060"/>
    </cacheField>
    <cacheField name="Total primes – Camion" numFmtId="0">
      <sharedItems containsString="0" containsBlank="1" containsNumber="1" containsInteger="1" minValue="152100" maxValue="152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1"/>
    <x v="0"/>
    <x v="0"/>
    <s v="AB00001"/>
    <x v="0"/>
    <x v="0"/>
    <s v="Renault"/>
    <n v="2011"/>
    <n v="93000"/>
    <x v="0"/>
    <x v="0"/>
    <n v="12"/>
    <n v="1560"/>
    <n v="0.05"/>
    <n v="4650"/>
    <n v="6210"/>
    <x v="0"/>
    <n v="36"/>
    <n v="13"/>
    <n v="13"/>
    <n v="72060"/>
    <n v="152100"/>
  </r>
  <r>
    <n v="2"/>
    <x v="1"/>
    <x v="1"/>
    <s v="AB00002"/>
    <x v="0"/>
    <x v="1"/>
    <s v="Toyota"/>
    <n v="2012"/>
    <n v="96000"/>
    <x v="1"/>
    <x v="1"/>
    <n v="12"/>
    <n v="1620"/>
    <n v="0.06"/>
    <n v="5760"/>
    <n v="7380"/>
    <x v="0"/>
    <n v="31"/>
    <m/>
    <m/>
    <m/>
    <m/>
  </r>
  <r>
    <n v="3"/>
    <x v="2"/>
    <x v="2"/>
    <s v="AB00003"/>
    <x v="1"/>
    <x v="2"/>
    <s v="Hyundai"/>
    <n v="2013"/>
    <n v="99000"/>
    <x v="2"/>
    <x v="2"/>
    <n v="12"/>
    <n v="1680"/>
    <n v="0.03"/>
    <n v="2970"/>
    <n v="4650"/>
    <x v="1"/>
    <n v="38"/>
    <m/>
    <m/>
    <m/>
    <m/>
  </r>
  <r>
    <n v="4"/>
    <x v="3"/>
    <x v="3"/>
    <s v="AB00004"/>
    <x v="2"/>
    <x v="0"/>
    <s v="Ford"/>
    <n v="2014"/>
    <n v="102000"/>
    <x v="0"/>
    <x v="3"/>
    <n v="12"/>
    <n v="1740"/>
    <n v="0.05"/>
    <n v="5100"/>
    <n v="6840"/>
    <x v="0"/>
    <n v="33"/>
    <m/>
    <m/>
    <m/>
    <m/>
  </r>
  <r>
    <n v="5"/>
    <x v="4"/>
    <x v="4"/>
    <s v="AB00005"/>
    <x v="3"/>
    <x v="1"/>
    <s v="Peugeot"/>
    <n v="2015"/>
    <n v="105000"/>
    <x v="1"/>
    <x v="4"/>
    <n v="12"/>
    <n v="1800"/>
    <n v="0.06"/>
    <n v="6300"/>
    <n v="8100"/>
    <x v="0"/>
    <n v="27"/>
    <m/>
    <m/>
    <m/>
    <m/>
  </r>
  <r>
    <n v="6"/>
    <x v="5"/>
    <x v="5"/>
    <s v="AB00006"/>
    <x v="4"/>
    <x v="2"/>
    <s v="Dacia"/>
    <n v="2016"/>
    <n v="108000"/>
    <x v="2"/>
    <x v="5"/>
    <n v="12"/>
    <n v="1860"/>
    <n v="0.03"/>
    <n v="3240"/>
    <n v="5100"/>
    <x v="0"/>
    <n v="35"/>
    <m/>
    <m/>
    <m/>
    <m/>
  </r>
  <r>
    <n v="7"/>
    <x v="6"/>
    <x v="6"/>
    <s v="AB00007"/>
    <x v="1"/>
    <x v="0"/>
    <s v="Renault"/>
    <n v="2017"/>
    <n v="111000"/>
    <x v="0"/>
    <x v="6"/>
    <n v="12"/>
    <n v="1920"/>
    <n v="0.05"/>
    <n v="5550"/>
    <n v="7470"/>
    <x v="0"/>
    <n v="29"/>
    <m/>
    <m/>
    <m/>
    <m/>
  </r>
  <r>
    <n v="8"/>
    <x v="7"/>
    <x v="7"/>
    <s v="AB00008"/>
    <x v="5"/>
    <x v="1"/>
    <s v="Toyota"/>
    <n v="2018"/>
    <n v="114000"/>
    <x v="1"/>
    <x v="7"/>
    <n v="12"/>
    <n v="1980"/>
    <n v="0.06"/>
    <n v="6840"/>
    <n v="8820"/>
    <x v="0"/>
    <n v="23"/>
    <m/>
    <m/>
    <m/>
    <m/>
  </r>
  <r>
    <n v="9"/>
    <x v="8"/>
    <x v="8"/>
    <s v="AB00009"/>
    <x v="2"/>
    <x v="2"/>
    <s v="Hyundai"/>
    <n v="2019"/>
    <n v="117000"/>
    <x v="2"/>
    <x v="8"/>
    <n v="12"/>
    <n v="2040"/>
    <n v="0.03"/>
    <n v="3510"/>
    <n v="5550"/>
    <x v="0"/>
    <n v="32"/>
    <m/>
    <s v="ID"/>
    <n v="3"/>
    <m/>
  </r>
  <r>
    <n v="10"/>
    <x v="9"/>
    <x v="9"/>
    <s v="AB00010"/>
    <x v="4"/>
    <x v="0"/>
    <s v="Ford"/>
    <n v="2020"/>
    <n v="120000"/>
    <x v="0"/>
    <x v="9"/>
    <n v="12"/>
    <n v="2100"/>
    <n v="0.05"/>
    <n v="6000"/>
    <n v="8100"/>
    <x v="0"/>
    <n v="26"/>
    <m/>
    <s v="nom"/>
    <s v="Benali"/>
    <m/>
  </r>
  <r>
    <n v="11"/>
    <x v="10"/>
    <x v="10"/>
    <s v="AB00011"/>
    <x v="3"/>
    <x v="1"/>
    <s v="Peugeot"/>
    <n v="2021"/>
    <n v="123000"/>
    <x v="1"/>
    <x v="10"/>
    <n v="12"/>
    <n v="2160"/>
    <n v="0.06"/>
    <n v="7380"/>
    <n v="9540"/>
    <x v="0"/>
    <n v="20"/>
    <m/>
    <s v="prime_total"/>
    <n v="4650"/>
    <m/>
  </r>
  <r>
    <n v="12"/>
    <x v="11"/>
    <x v="11"/>
    <s v="AB00012"/>
    <x v="1"/>
    <x v="2"/>
    <s v="Dacia"/>
    <n v="2022"/>
    <n v="126000"/>
    <x v="2"/>
    <x v="11"/>
    <n v="12"/>
    <n v="2220"/>
    <n v="0.03"/>
    <n v="3780"/>
    <n v="6000"/>
    <x v="0"/>
    <n v="29"/>
    <m/>
    <m/>
    <m/>
    <m/>
  </r>
  <r>
    <n v="13"/>
    <x v="12"/>
    <x v="12"/>
    <s v="AB00013"/>
    <x v="0"/>
    <x v="0"/>
    <s v="Renault"/>
    <n v="2023"/>
    <n v="129000"/>
    <x v="0"/>
    <x v="12"/>
    <n v="12"/>
    <n v="2280"/>
    <n v="0.05"/>
    <n v="6450"/>
    <n v="8730"/>
    <x v="0"/>
    <n v="22"/>
    <m/>
    <m/>
    <m/>
    <m/>
  </r>
  <r>
    <n v="14"/>
    <x v="13"/>
    <x v="13"/>
    <s v="AB00014"/>
    <x v="4"/>
    <x v="1"/>
    <s v="Toyota"/>
    <n v="2010"/>
    <n v="132000"/>
    <x v="1"/>
    <x v="13"/>
    <n v="12"/>
    <n v="2340"/>
    <n v="0.06"/>
    <n v="7920"/>
    <n v="10260"/>
    <x v="0"/>
    <n v="16"/>
    <m/>
    <m/>
    <m/>
    <m/>
  </r>
  <r>
    <n v="15"/>
    <x v="14"/>
    <x v="14"/>
    <s v="AB00015"/>
    <x v="3"/>
    <x v="2"/>
    <s v="Hyundai"/>
    <n v="2011"/>
    <n v="135000"/>
    <x v="2"/>
    <x v="14"/>
    <n v="12"/>
    <n v="2400"/>
    <n v="0.03"/>
    <n v="4050"/>
    <n v="6450"/>
    <x v="0"/>
    <n v="26"/>
    <m/>
    <m/>
    <m/>
    <m/>
  </r>
  <r>
    <n v="16"/>
    <x v="15"/>
    <x v="15"/>
    <s v="AB00016"/>
    <x v="2"/>
    <x v="0"/>
    <s v="Ford"/>
    <n v="2012"/>
    <n v="138000"/>
    <x v="0"/>
    <x v="15"/>
    <n v="12"/>
    <n v="2460"/>
    <n v="0.05"/>
    <n v="6900"/>
    <n v="9360"/>
    <x v="0"/>
    <n v="19"/>
    <m/>
    <m/>
    <m/>
    <m/>
  </r>
  <r>
    <n v="17"/>
    <x v="16"/>
    <x v="16"/>
    <s v="AB00017"/>
    <x v="1"/>
    <x v="1"/>
    <s v="Peugeot"/>
    <n v="2013"/>
    <n v="141000"/>
    <x v="1"/>
    <x v="16"/>
    <n v="12"/>
    <n v="2520"/>
    <n v="0.06"/>
    <n v="8460"/>
    <n v="10980"/>
    <x v="0"/>
    <n v="14"/>
    <m/>
    <m/>
    <m/>
    <m/>
  </r>
  <r>
    <n v="18"/>
    <x v="17"/>
    <x v="17"/>
    <s v="AB00018"/>
    <x v="0"/>
    <x v="2"/>
    <s v="Dacia"/>
    <n v="2014"/>
    <n v="144000"/>
    <x v="2"/>
    <x v="17"/>
    <n v="12"/>
    <n v="2580"/>
    <n v="0.03"/>
    <n v="4320"/>
    <n v="6900"/>
    <x v="0"/>
    <n v="23"/>
    <m/>
    <m/>
    <m/>
    <m/>
  </r>
  <r>
    <n v="19"/>
    <x v="18"/>
    <x v="18"/>
    <s v="AB00019"/>
    <x v="4"/>
    <x v="0"/>
    <s v="Renault"/>
    <n v="2015"/>
    <n v="147000"/>
    <x v="0"/>
    <x v="18"/>
    <n v="12"/>
    <n v="2640"/>
    <n v="0.05"/>
    <n v="7350"/>
    <n v="9990"/>
    <x v="0"/>
    <n v="16"/>
    <m/>
    <m/>
    <m/>
    <m/>
  </r>
  <r>
    <n v="20"/>
    <x v="19"/>
    <x v="19"/>
    <s v="AB00020"/>
    <x v="3"/>
    <x v="1"/>
    <s v="Toyota"/>
    <n v="2016"/>
    <n v="150000"/>
    <x v="1"/>
    <x v="19"/>
    <n v="12"/>
    <n v="2700"/>
    <n v="0.06"/>
    <n v="9000"/>
    <n v="11700"/>
    <x v="0"/>
    <n v="12"/>
    <m/>
    <m/>
    <m/>
    <m/>
  </r>
  <r>
    <n v="21"/>
    <x v="20"/>
    <x v="20"/>
    <s v="AB00021"/>
    <x v="2"/>
    <x v="2"/>
    <s v="Hyundai"/>
    <n v="2017"/>
    <n v="153000"/>
    <x v="2"/>
    <x v="20"/>
    <n v="12"/>
    <n v="2760"/>
    <n v="0.03"/>
    <n v="4590"/>
    <n v="7350"/>
    <x v="0"/>
    <n v="20"/>
    <m/>
    <m/>
    <m/>
    <m/>
  </r>
  <r>
    <n v="22"/>
    <x v="21"/>
    <x v="21"/>
    <s v="AB00022"/>
    <x v="1"/>
    <x v="0"/>
    <s v="Ford"/>
    <n v="2018"/>
    <n v="156000"/>
    <x v="0"/>
    <x v="21"/>
    <n v="12"/>
    <n v="2820"/>
    <n v="0.05"/>
    <n v="7800"/>
    <n v="10620"/>
    <x v="0"/>
    <n v="13"/>
    <m/>
    <m/>
    <m/>
    <m/>
  </r>
  <r>
    <n v="23"/>
    <x v="22"/>
    <x v="22"/>
    <s v="AB00023"/>
    <x v="4"/>
    <x v="1"/>
    <s v="Peugeot"/>
    <n v="2019"/>
    <n v="159000"/>
    <x v="1"/>
    <x v="22"/>
    <n v="12"/>
    <n v="2880"/>
    <n v="0.06"/>
    <n v="9540"/>
    <n v="12420"/>
    <x v="0"/>
    <n v="10"/>
    <m/>
    <m/>
    <m/>
    <m/>
  </r>
  <r>
    <n v="24"/>
    <x v="23"/>
    <x v="23"/>
    <s v="AB00024"/>
    <x v="2"/>
    <x v="2"/>
    <s v="Dacia"/>
    <n v="2020"/>
    <n v="162000"/>
    <x v="2"/>
    <x v="23"/>
    <n v="12"/>
    <n v="2940"/>
    <n v="0.03"/>
    <n v="4860"/>
    <n v="7800"/>
    <x v="0"/>
    <n v="17"/>
    <m/>
    <m/>
    <m/>
    <m/>
  </r>
  <r>
    <n v="25"/>
    <x v="24"/>
    <x v="24"/>
    <s v="AB00025"/>
    <x v="3"/>
    <x v="0"/>
    <s v="Renault"/>
    <n v="2021"/>
    <n v="165000"/>
    <x v="0"/>
    <x v="24"/>
    <n v="12"/>
    <n v="3000"/>
    <n v="0.05"/>
    <n v="8250"/>
    <n v="11250"/>
    <x v="0"/>
    <n v="11"/>
    <m/>
    <m/>
    <m/>
    <m/>
  </r>
  <r>
    <n v="26"/>
    <x v="25"/>
    <x v="25"/>
    <s v="AB00026"/>
    <x v="0"/>
    <x v="1"/>
    <s v="Toyota"/>
    <n v="2022"/>
    <n v="168000"/>
    <x v="1"/>
    <x v="25"/>
    <n v="12"/>
    <n v="3060"/>
    <n v="0.06"/>
    <n v="10080"/>
    <n v="13140"/>
    <x v="0"/>
    <n v="7"/>
    <m/>
    <m/>
    <m/>
    <m/>
  </r>
  <r>
    <n v="27"/>
    <x v="26"/>
    <x v="26"/>
    <s v="AB00027"/>
    <x v="4"/>
    <x v="2"/>
    <s v="Hyundai"/>
    <n v="2023"/>
    <n v="171000"/>
    <x v="2"/>
    <x v="26"/>
    <n v="12"/>
    <n v="3120"/>
    <n v="0.03"/>
    <n v="5130"/>
    <n v="8250"/>
    <x v="0"/>
    <n v="14"/>
    <m/>
    <m/>
    <m/>
    <m/>
  </r>
  <r>
    <n v="28"/>
    <x v="27"/>
    <x v="27"/>
    <s v="AB00028"/>
    <x v="1"/>
    <x v="0"/>
    <s v="Ford"/>
    <n v="2010"/>
    <n v="174000"/>
    <x v="0"/>
    <x v="27"/>
    <n v="12"/>
    <n v="3180"/>
    <n v="0.05"/>
    <n v="8700"/>
    <n v="11880"/>
    <x v="0"/>
    <n v="9"/>
    <m/>
    <m/>
    <m/>
    <m/>
  </r>
  <r>
    <n v="29"/>
    <x v="28"/>
    <x v="28"/>
    <s v="AB00029"/>
    <x v="2"/>
    <x v="1"/>
    <s v="Peugeot"/>
    <n v="2011"/>
    <n v="177000"/>
    <x v="1"/>
    <x v="0"/>
    <n v="12"/>
    <n v="3240"/>
    <n v="0.06"/>
    <n v="10620"/>
    <n v="13860"/>
    <x v="0"/>
    <n v="5"/>
    <m/>
    <m/>
    <m/>
    <m/>
  </r>
  <r>
    <n v="30"/>
    <x v="29"/>
    <x v="29"/>
    <s v="AB00030"/>
    <x v="3"/>
    <x v="2"/>
    <s v="Dacia"/>
    <n v="2012"/>
    <n v="180000"/>
    <x v="2"/>
    <x v="1"/>
    <n v="12"/>
    <n v="3300"/>
    <n v="0.03"/>
    <n v="5400"/>
    <n v="8700"/>
    <x v="0"/>
    <n v="11"/>
    <m/>
    <m/>
    <m/>
    <m/>
  </r>
  <r>
    <n v="31"/>
    <x v="30"/>
    <x v="30"/>
    <s v="AB00031"/>
    <x v="4"/>
    <x v="0"/>
    <s v="Renault"/>
    <n v="2013"/>
    <n v="183000"/>
    <x v="0"/>
    <x v="2"/>
    <n v="12"/>
    <n v="3360"/>
    <n v="0.05"/>
    <n v="9150"/>
    <n v="12510"/>
    <x v="0"/>
    <n v="7"/>
    <m/>
    <m/>
    <m/>
    <m/>
  </r>
  <r>
    <n v="32"/>
    <x v="31"/>
    <x v="31"/>
    <s v="AB00032"/>
    <x v="1"/>
    <x v="1"/>
    <s v="Toyota"/>
    <n v="2014"/>
    <n v="186000"/>
    <x v="1"/>
    <x v="3"/>
    <n v="12"/>
    <n v="3420"/>
    <n v="0.06"/>
    <n v="11160"/>
    <n v="14580"/>
    <x v="0"/>
    <n v="3"/>
    <m/>
    <m/>
    <m/>
    <m/>
  </r>
  <r>
    <n v="33"/>
    <x v="32"/>
    <x v="32"/>
    <s v="AB00033"/>
    <x v="2"/>
    <x v="2"/>
    <s v="Hyundai"/>
    <n v="2015"/>
    <n v="189000"/>
    <x v="2"/>
    <x v="4"/>
    <n v="12"/>
    <n v="3480"/>
    <n v="0.03"/>
    <n v="5670"/>
    <n v="9150"/>
    <x v="0"/>
    <n v="8"/>
    <m/>
    <m/>
    <m/>
    <m/>
  </r>
  <r>
    <n v="34"/>
    <x v="33"/>
    <x v="33"/>
    <s v="AB00034"/>
    <x v="3"/>
    <x v="0"/>
    <s v="Ford"/>
    <n v="2016"/>
    <n v="192000"/>
    <x v="0"/>
    <x v="5"/>
    <n v="12"/>
    <n v="3540"/>
    <n v="0.05"/>
    <n v="9600"/>
    <n v="13140"/>
    <x v="0"/>
    <n v="5"/>
    <m/>
    <m/>
    <m/>
    <m/>
  </r>
  <r>
    <n v="35"/>
    <x v="34"/>
    <x v="34"/>
    <s v="AB00035"/>
    <x v="0"/>
    <x v="1"/>
    <s v="Peugeot"/>
    <n v="2017"/>
    <n v="195000"/>
    <x v="1"/>
    <x v="6"/>
    <n v="12"/>
    <n v="3600"/>
    <n v="0.06"/>
    <n v="11700"/>
    <n v="15300"/>
    <x v="0"/>
    <n v="2"/>
    <m/>
    <m/>
    <m/>
    <m/>
  </r>
  <r>
    <n v="36"/>
    <x v="35"/>
    <x v="35"/>
    <s v="AB00036"/>
    <x v="4"/>
    <x v="2"/>
    <s v="Dacia"/>
    <n v="2018"/>
    <n v="198000"/>
    <x v="2"/>
    <x v="7"/>
    <n v="12"/>
    <n v="3660"/>
    <n v="0.03"/>
    <n v="5940"/>
    <n v="9600"/>
    <x v="0"/>
    <n v="5"/>
    <m/>
    <m/>
    <m/>
    <m/>
  </r>
  <r>
    <n v="37"/>
    <x v="36"/>
    <x v="36"/>
    <s v="AB00037"/>
    <x v="1"/>
    <x v="0"/>
    <s v="Renault"/>
    <n v="2019"/>
    <n v="201000"/>
    <x v="0"/>
    <x v="8"/>
    <n v="12"/>
    <n v="3720"/>
    <n v="0.05"/>
    <n v="10050"/>
    <n v="13770"/>
    <x v="0"/>
    <n v="3"/>
    <m/>
    <m/>
    <m/>
    <m/>
  </r>
  <r>
    <n v="38"/>
    <x v="37"/>
    <x v="37"/>
    <s v="AB00038"/>
    <x v="2"/>
    <x v="1"/>
    <s v="Toyota"/>
    <n v="2020"/>
    <n v="204000"/>
    <x v="1"/>
    <x v="9"/>
    <n v="12"/>
    <n v="3780"/>
    <n v="0.06"/>
    <n v="12240"/>
    <n v="16020"/>
    <x v="0"/>
    <n v="1"/>
    <m/>
    <m/>
    <m/>
    <m/>
  </r>
  <r>
    <n v="39"/>
    <x v="38"/>
    <x v="38"/>
    <s v="AB00039"/>
    <x v="3"/>
    <x v="2"/>
    <s v="Hyundai"/>
    <n v="2021"/>
    <n v="207000"/>
    <x v="2"/>
    <x v="10"/>
    <n v="12"/>
    <n v="3840"/>
    <n v="0.03"/>
    <n v="6210"/>
    <n v="10050"/>
    <x v="0"/>
    <n v="2"/>
    <m/>
    <m/>
    <m/>
    <m/>
  </r>
  <r>
    <n v="40"/>
    <x v="39"/>
    <x v="39"/>
    <s v="AB00040"/>
    <x v="0"/>
    <x v="0"/>
    <s v="Ford"/>
    <n v="2022"/>
    <n v="210000"/>
    <x v="0"/>
    <x v="11"/>
    <n v="12"/>
    <n v="3900"/>
    <n v="0.05"/>
    <n v="10500"/>
    <n v="14400"/>
    <x v="0"/>
    <n v="1"/>
    <m/>
    <m/>
    <m/>
    <m/>
  </r>
  <r>
    <m/>
    <x v="40"/>
    <x v="40"/>
    <m/>
    <x v="6"/>
    <x v="3"/>
    <m/>
    <m/>
    <m/>
    <x v="3"/>
    <x v="28"/>
    <m/>
    <m/>
    <m/>
    <m/>
    <m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6D160-BA29-4D83-BFB6-E6AFFBFFDBB4}" name="Tableau croisé dynamique8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1">
  <location ref="H21:I24" firstHeaderRow="1" firstDataRow="1" firstDataCol="1"/>
  <pivotFields count="22">
    <pivotField showAll="0"/>
    <pivotField showAll="0" measureFilter="1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>
      <items count="42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x="4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omme de Prime_Totale" fld="15" baseField="2" baseItem="1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93A47-58CC-4D9A-B33E-3FC8CF4430C5}" name="Tableau croisé dynamique7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9">
  <location ref="E22:F28" firstHeaderRow="1" firstDataRow="1" firstDataCol="1"/>
  <pivotFields count="22">
    <pivotField showAll="0"/>
    <pivotField axis="axisRow" showAll="0" measureFilter="1">
      <items count="42">
        <item x="39"/>
        <item x="1"/>
        <item x="8"/>
        <item x="13"/>
        <item x="25"/>
        <item x="33"/>
        <item x="2"/>
        <item x="38"/>
        <item x="23"/>
        <item x="6"/>
        <item x="20"/>
        <item x="30"/>
        <item x="17"/>
        <item x="4"/>
        <item x="0"/>
        <item x="7"/>
        <item x="31"/>
        <item x="3"/>
        <item x="24"/>
        <item x="18"/>
        <item x="36"/>
        <item x="27"/>
        <item x="22"/>
        <item x="19"/>
        <item x="35"/>
        <item x="16"/>
        <item x="37"/>
        <item x="28"/>
        <item x="15"/>
        <item x="14"/>
        <item x="12"/>
        <item x="34"/>
        <item x="26"/>
        <item x="11"/>
        <item x="21"/>
        <item x="10"/>
        <item x="29"/>
        <item x="5"/>
        <item x="32"/>
        <item x="9"/>
        <item x="40"/>
        <item t="default"/>
      </items>
    </pivotField>
    <pivotField showAll="0">
      <items count="42">
        <item x="10"/>
        <item x="27"/>
        <item x="38"/>
        <item x="2"/>
        <item x="17"/>
        <item x="12"/>
        <item x="20"/>
        <item x="1"/>
        <item x="25"/>
        <item x="21"/>
        <item x="8"/>
        <item x="30"/>
        <item x="37"/>
        <item x="7"/>
        <item x="36"/>
        <item x="18"/>
        <item x="5"/>
        <item x="19"/>
        <item x="28"/>
        <item x="34"/>
        <item x="22"/>
        <item x="24"/>
        <item x="4"/>
        <item x="9"/>
        <item x="39"/>
        <item x="26"/>
        <item x="6"/>
        <item x="14"/>
        <item x="32"/>
        <item x="35"/>
        <item x="31"/>
        <item x="3"/>
        <item x="23"/>
        <item x="15"/>
        <item x="11"/>
        <item x="13"/>
        <item x="16"/>
        <item x="33"/>
        <item x="29"/>
        <item x="0"/>
        <item x="40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6"/>
    </i>
    <i>
      <x v="26"/>
    </i>
    <i>
      <x v="27"/>
    </i>
    <i>
      <x v="31"/>
    </i>
    <i t="grand">
      <x/>
    </i>
  </rowItems>
  <colItems count="1">
    <i/>
  </colItems>
  <dataFields count="1">
    <dataField name="Somme de Prime_Totale" fld="15" baseField="2" baseItem="1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71AC1-578B-417D-A982-FB9F16621DE8}" name="Tableau croisé dynamique5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21">
  <location ref="E13:G17" firstHeaderRow="0" firstDataRow="1" firstDataCol="1"/>
  <pivotFields count="22">
    <pivotField showAll="0"/>
    <pivotField dataField="1" showAll="0"/>
    <pivotField dataField="1"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rénom" fld="2" subtotal="count" baseField="0" baseItem="0"/>
    <dataField name="Nombre de Nom" fld="1" subtotal="count" baseField="0" baseItem="0"/>
  </dataField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8ABE3-B433-40B5-8387-BC9DCC9DDA7B}" name="Tableau croisé dynamique4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38">
  <location ref="D3:E8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Prime_Totale" fld="15" subtotal="average" baseField="5" baseItem="0"/>
  </dataFields>
  <chartFormats count="5">
    <chartFormat chart="3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49064-A150-4984-91F3-C0F488A6373C}" name="Tableau croisé dynamique2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9">
  <location ref="B12:C20" firstHeaderRow="1" firstDataRow="1" firstDataCol="1"/>
  <pivotFields count="22">
    <pivotField dataField="1" showAll="0"/>
    <pivotField showAll="0"/>
    <pivotField showAll="0"/>
    <pivotField showAll="0"/>
    <pivotField axis="axisRow" showAll="0">
      <items count="8">
        <item x="4"/>
        <item x="3"/>
        <item x="5"/>
        <item x="1"/>
        <item x="0"/>
        <item x="2"/>
        <item x="6"/>
        <item t="default"/>
      </items>
    </pivotField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ombre de ID_Client" fld="0" subtotal="count" baseField="4" baseItem="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25012-FE75-46FD-80E2-29DCCFD936CC}" name="Tableau croisé dynamique1" cacheId="5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 chartFormat="18">
  <location ref="A3: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Prime_Totale" fld="15" baseField="0" baseItem="0"/>
  </dataFields>
  <chartFormats count="4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BF66-6ECA-4FEC-9E75-25ADCB019601}">
  <dimension ref="A2:I28"/>
  <sheetViews>
    <sheetView workbookViewId="0">
      <selection activeCell="E22" sqref="E22:F28"/>
    </sheetView>
  </sheetViews>
  <sheetFormatPr defaultColWidth="11.42578125" defaultRowHeight="15" x14ac:dyDescent="0.25"/>
  <cols>
    <col min="1" max="1" width="19.5703125" bestFit="1" customWidth="1"/>
    <col min="2" max="2" width="21.42578125" bestFit="1" customWidth="1"/>
    <col min="3" max="3" width="18.42578125" bestFit="1" customWidth="1"/>
    <col min="4" max="4" width="19.5703125" bestFit="1" customWidth="1"/>
    <col min="5" max="5" width="23.140625" bestFit="1" customWidth="1"/>
    <col min="6" max="6" width="17.42578125" bestFit="1" customWidth="1"/>
    <col min="7" max="7" width="14.5703125" bestFit="1" customWidth="1"/>
    <col min="8" max="8" width="19.5703125" bestFit="1" customWidth="1"/>
    <col min="9" max="9" width="21.42578125" bestFit="1" customWidth="1"/>
  </cols>
  <sheetData>
    <row r="2" spans="1:7" x14ac:dyDescent="0.25">
      <c r="A2">
        <v>1</v>
      </c>
      <c r="D2">
        <v>3</v>
      </c>
    </row>
    <row r="3" spans="1:7" x14ac:dyDescent="0.25">
      <c r="A3" s="3" t="s">
        <v>163</v>
      </c>
      <c r="B3" t="s">
        <v>166</v>
      </c>
      <c r="D3" s="3" t="s">
        <v>163</v>
      </c>
      <c r="E3" t="s">
        <v>168</v>
      </c>
    </row>
    <row r="4" spans="1:7" x14ac:dyDescent="0.25">
      <c r="A4" s="1" t="s">
        <v>36</v>
      </c>
      <c r="B4">
        <v>95550</v>
      </c>
      <c r="D4" s="1" t="s">
        <v>27</v>
      </c>
      <c r="E4">
        <v>11700</v>
      </c>
    </row>
    <row r="5" spans="1:7" x14ac:dyDescent="0.25">
      <c r="A5" s="1" t="s">
        <v>23</v>
      </c>
      <c r="B5">
        <v>144270</v>
      </c>
      <c r="D5" s="1" t="s">
        <v>21</v>
      </c>
      <c r="E5">
        <v>10305</v>
      </c>
    </row>
    <row r="6" spans="1:7" x14ac:dyDescent="0.25">
      <c r="A6" s="1" t="s">
        <v>29</v>
      </c>
      <c r="B6">
        <v>152100</v>
      </c>
      <c r="D6" s="1" t="s">
        <v>34</v>
      </c>
      <c r="E6">
        <v>7350</v>
      </c>
    </row>
    <row r="7" spans="1:7" x14ac:dyDescent="0.25">
      <c r="A7" s="1" t="s">
        <v>164</v>
      </c>
      <c r="D7" s="1" t="s">
        <v>164</v>
      </c>
    </row>
    <row r="8" spans="1:7" x14ac:dyDescent="0.25">
      <c r="A8" s="1" t="s">
        <v>165</v>
      </c>
      <c r="B8">
        <v>391920</v>
      </c>
      <c r="D8" s="1" t="s">
        <v>165</v>
      </c>
      <c r="E8">
        <v>9798</v>
      </c>
    </row>
    <row r="11" spans="1:7" x14ac:dyDescent="0.25">
      <c r="B11">
        <v>2</v>
      </c>
    </row>
    <row r="12" spans="1:7" x14ac:dyDescent="0.25">
      <c r="B12" s="3" t="s">
        <v>163</v>
      </c>
      <c r="C12" t="s">
        <v>167</v>
      </c>
      <c r="E12">
        <v>4</v>
      </c>
    </row>
    <row r="13" spans="1:7" x14ac:dyDescent="0.25">
      <c r="B13" s="1" t="s">
        <v>50</v>
      </c>
      <c r="C13">
        <v>8</v>
      </c>
      <c r="E13" s="3" t="s">
        <v>163</v>
      </c>
      <c r="F13" t="s">
        <v>172</v>
      </c>
      <c r="G13" t="s">
        <v>171</v>
      </c>
    </row>
    <row r="14" spans="1:7" x14ac:dyDescent="0.25">
      <c r="B14" s="1" t="s">
        <v>45</v>
      </c>
      <c r="C14">
        <v>8</v>
      </c>
      <c r="E14" s="1" t="s">
        <v>170</v>
      </c>
      <c r="F14">
        <v>1</v>
      </c>
      <c r="G14">
        <v>1</v>
      </c>
    </row>
    <row r="15" spans="1:7" x14ac:dyDescent="0.25">
      <c r="B15" s="1" t="s">
        <v>58</v>
      </c>
      <c r="C15">
        <v>1</v>
      </c>
      <c r="E15" s="1" t="s">
        <v>169</v>
      </c>
      <c r="F15">
        <v>39</v>
      </c>
      <c r="G15">
        <v>39</v>
      </c>
    </row>
    <row r="16" spans="1:7" x14ac:dyDescent="0.25">
      <c r="B16" s="1" t="s">
        <v>33</v>
      </c>
      <c r="C16">
        <v>8</v>
      </c>
      <c r="E16" s="1" t="s">
        <v>164</v>
      </c>
    </row>
    <row r="17" spans="2:9" x14ac:dyDescent="0.25">
      <c r="B17" s="1" t="s">
        <v>20</v>
      </c>
      <c r="C17">
        <v>7</v>
      </c>
      <c r="E17" s="1" t="s">
        <v>165</v>
      </c>
      <c r="F17">
        <v>40</v>
      </c>
      <c r="G17">
        <v>40</v>
      </c>
    </row>
    <row r="18" spans="2:9" x14ac:dyDescent="0.25">
      <c r="B18" s="1" t="s">
        <v>40</v>
      </c>
      <c r="C18">
        <v>8</v>
      </c>
    </row>
    <row r="19" spans="2:9" x14ac:dyDescent="0.25">
      <c r="B19" s="1" t="s">
        <v>164</v>
      </c>
    </row>
    <row r="20" spans="2:9" x14ac:dyDescent="0.25">
      <c r="B20" s="1" t="s">
        <v>165</v>
      </c>
      <c r="C20">
        <v>40</v>
      </c>
      <c r="H20">
        <v>5</v>
      </c>
    </row>
    <row r="21" spans="2:9" x14ac:dyDescent="0.25">
      <c r="E21">
        <v>6</v>
      </c>
      <c r="H21" s="3" t="s">
        <v>163</v>
      </c>
      <c r="I21" t="s">
        <v>166</v>
      </c>
    </row>
    <row r="22" spans="2:9" x14ac:dyDescent="0.25">
      <c r="E22" s="3" t="s">
        <v>163</v>
      </c>
      <c r="F22" t="s">
        <v>166</v>
      </c>
      <c r="H22" s="1" t="s">
        <v>164</v>
      </c>
    </row>
    <row r="23" spans="2:9" x14ac:dyDescent="0.25">
      <c r="E23" s="1" t="s">
        <v>152</v>
      </c>
      <c r="F23">
        <v>14400</v>
      </c>
      <c r="H23" s="1" t="s">
        <v>173</v>
      </c>
      <c r="I23">
        <v>391920</v>
      </c>
    </row>
    <row r="24" spans="2:9" x14ac:dyDescent="0.25">
      <c r="E24" s="1" t="s">
        <v>128</v>
      </c>
      <c r="F24">
        <v>14580</v>
      </c>
      <c r="H24" s="1" t="s">
        <v>165</v>
      </c>
      <c r="I24">
        <v>391920</v>
      </c>
    </row>
    <row r="25" spans="2:9" x14ac:dyDescent="0.25">
      <c r="E25" s="1" t="s">
        <v>146</v>
      </c>
      <c r="F25">
        <v>16020</v>
      </c>
    </row>
    <row r="26" spans="2:9" x14ac:dyDescent="0.25">
      <c r="E26" s="1" t="s">
        <v>119</v>
      </c>
      <c r="F26">
        <v>13860</v>
      </c>
    </row>
    <row r="27" spans="2:9" x14ac:dyDescent="0.25">
      <c r="E27" s="1" t="s">
        <v>137</v>
      </c>
      <c r="F27">
        <v>15300</v>
      </c>
    </row>
    <row r="28" spans="2:9" x14ac:dyDescent="0.25">
      <c r="E28" s="1" t="s">
        <v>165</v>
      </c>
      <c r="F28">
        <v>74160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7EA7-F63B-4E4B-9856-BF8E46253716}">
  <dimension ref="A1:AC106"/>
  <sheetViews>
    <sheetView zoomScale="78" zoomScaleNormal="78" workbookViewId="0">
      <selection activeCell="AE13" sqref="AE13"/>
    </sheetView>
  </sheetViews>
  <sheetFormatPr defaultRowHeight="15" x14ac:dyDescent="0.25"/>
  <sheetData>
    <row r="1" spans="1:2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5"/>
      <c r="AC1" s="5"/>
    </row>
    <row r="2" spans="1:29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5"/>
      <c r="AA2" s="5"/>
      <c r="AB2" s="5"/>
      <c r="AC2" s="5"/>
    </row>
    <row r="3" spans="1:2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  <c r="Z3" s="5"/>
      <c r="AA3" s="5"/>
      <c r="AB3" s="5"/>
      <c r="AC3" s="5"/>
    </row>
    <row r="4" spans="1:2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  <c r="AA4" s="5"/>
      <c r="AB4" s="5"/>
      <c r="AC4" s="5"/>
    </row>
    <row r="5" spans="1:2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5"/>
      <c r="AA5" s="5"/>
      <c r="AB5" s="5"/>
      <c r="AC5" s="5"/>
    </row>
    <row r="6" spans="1:29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</row>
    <row r="7" spans="1:29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5"/>
      <c r="AA7" s="5"/>
      <c r="AB7" s="5"/>
      <c r="AC7" s="5"/>
    </row>
    <row r="8" spans="1:29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5"/>
      <c r="AA8" s="5"/>
      <c r="AB8" s="5"/>
      <c r="AC8" s="5"/>
    </row>
    <row r="9" spans="1:29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5"/>
      <c r="AA9" s="5"/>
      <c r="AB9" s="5"/>
      <c r="AC9" s="5"/>
    </row>
    <row r="10" spans="1:29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5"/>
      <c r="AA10" s="5"/>
      <c r="AB10" s="5"/>
      <c r="AC10" s="5"/>
    </row>
    <row r="11" spans="1:29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5"/>
      <c r="AA11" s="5"/>
      <c r="AB11" s="5"/>
      <c r="AC11" s="5"/>
    </row>
    <row r="12" spans="1:29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5"/>
      <c r="AA12" s="5"/>
      <c r="AB12" s="5"/>
      <c r="AC12" s="5"/>
    </row>
    <row r="13" spans="1:29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5"/>
      <c r="AA13" s="5"/>
      <c r="AB13" s="5"/>
      <c r="AC13" s="5"/>
    </row>
    <row r="14" spans="1:29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5"/>
      <c r="AA14" s="5"/>
      <c r="AB14" s="5"/>
      <c r="AC14" s="5"/>
    </row>
    <row r="15" spans="1:29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5"/>
      <c r="AA15" s="5"/>
      <c r="AB15" s="5"/>
      <c r="AC15" s="5"/>
    </row>
    <row r="16" spans="1:29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5"/>
      <c r="AA16" s="5"/>
      <c r="AB16" s="5"/>
      <c r="AC16" s="5"/>
    </row>
    <row r="17" spans="1:29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5"/>
      <c r="AA17" s="5"/>
      <c r="AB17" s="5"/>
      <c r="AC17" s="5"/>
    </row>
    <row r="18" spans="1:29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5"/>
      <c r="AA18" s="5"/>
      <c r="AB18" s="5"/>
      <c r="AC18" s="5"/>
    </row>
    <row r="19" spans="1:29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5"/>
      <c r="AA19" s="5"/>
      <c r="AB19" s="5"/>
      <c r="AC19" s="5"/>
    </row>
    <row r="20" spans="1:29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5"/>
      <c r="AA20" s="5"/>
      <c r="AB20" s="5"/>
      <c r="AC20" s="5"/>
    </row>
    <row r="21" spans="1:29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5"/>
      <c r="AA21" s="5"/>
      <c r="AB21" s="5"/>
      <c r="AC21" s="5"/>
    </row>
    <row r="22" spans="1:29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  <c r="Z22" s="5"/>
      <c r="AA22" s="5"/>
      <c r="AB22" s="5"/>
      <c r="AC22" s="5"/>
    </row>
    <row r="23" spans="1:29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5"/>
      <c r="AA23" s="5"/>
      <c r="AB23" s="5"/>
      <c r="AC23" s="5"/>
    </row>
    <row r="24" spans="1:29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  <c r="Z24" s="5"/>
      <c r="AA24" s="5"/>
      <c r="AB24" s="5"/>
      <c r="AC24" s="5"/>
    </row>
    <row r="25" spans="1:29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5"/>
      <c r="AA25" s="5"/>
      <c r="AB25" s="5"/>
      <c r="AC25" s="5"/>
    </row>
    <row r="26" spans="1:29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  <c r="Z26" s="5"/>
      <c r="AA26" s="5"/>
      <c r="AB26" s="5"/>
      <c r="AC26" s="5"/>
    </row>
    <row r="27" spans="1:29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  <c r="Z27" s="5"/>
      <c r="AA27" s="5"/>
      <c r="AB27" s="5"/>
      <c r="AC27" s="5"/>
    </row>
    <row r="28" spans="1:29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5"/>
      <c r="AA28" s="5"/>
      <c r="AB28" s="5"/>
      <c r="AC28" s="5"/>
    </row>
    <row r="29" spans="1:29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5"/>
      <c r="AA29" s="5"/>
      <c r="AB29" s="5"/>
      <c r="AC29" s="5"/>
    </row>
    <row r="30" spans="1:29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  <c r="AB30" s="5"/>
      <c r="AC30" s="5"/>
    </row>
    <row r="31" spans="1:29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  <c r="AB31" s="5"/>
      <c r="AC31" s="5"/>
    </row>
    <row r="32" spans="1:29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  <c r="AB32" s="5"/>
      <c r="AC32" s="5"/>
    </row>
    <row r="33" spans="1:29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  <c r="AB33" s="5"/>
      <c r="AC33" s="5"/>
    </row>
    <row r="34" spans="1:29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  <c r="AB34" s="5"/>
      <c r="AC34" s="5"/>
    </row>
    <row r="35" spans="1:29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  <c r="AB35" s="5"/>
      <c r="AC35" s="5"/>
    </row>
    <row r="36" spans="1:29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5"/>
      <c r="AA36" s="5"/>
      <c r="AB36" s="5"/>
      <c r="AC36" s="5"/>
    </row>
    <row r="37" spans="1:2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  <c r="AB37" s="5"/>
      <c r="AC37" s="5"/>
    </row>
    <row r="38" spans="1:29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  <c r="AB38" s="5"/>
      <c r="AC38" s="5"/>
    </row>
    <row r="39" spans="1:29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  <c r="AB39" s="5"/>
      <c r="AC39" s="5"/>
    </row>
    <row r="40" spans="1:29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  <c r="AB40" s="5"/>
      <c r="AC40" s="5"/>
    </row>
    <row r="41" spans="1:29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  <c r="AB41" s="5"/>
      <c r="AC41" s="5"/>
    </row>
    <row r="42" spans="1:29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  <c r="AB42" s="5"/>
      <c r="AC42" s="5"/>
    </row>
    <row r="43" spans="1:29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5"/>
      <c r="AA43" s="5"/>
      <c r="AB43" s="5"/>
      <c r="AC43" s="5"/>
    </row>
    <row r="44" spans="1:29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5"/>
      <c r="AA44" s="5"/>
      <c r="AB44" s="5"/>
      <c r="AC44" s="5"/>
    </row>
    <row r="45" spans="1:29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5"/>
      <c r="AA45" s="5"/>
      <c r="AB45" s="5"/>
      <c r="AC45" s="5"/>
    </row>
    <row r="46" spans="1:29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5"/>
      <c r="AA46" s="5"/>
      <c r="AB46" s="5"/>
      <c r="AC46" s="5"/>
    </row>
    <row r="47" spans="1:29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5"/>
      <c r="AA47" s="5"/>
      <c r="AB47" s="5"/>
      <c r="AC47" s="5"/>
    </row>
    <row r="48" spans="1:29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5"/>
      <c r="AA48" s="5"/>
      <c r="AB48" s="5"/>
      <c r="AC48" s="5"/>
    </row>
    <row r="49" spans="1:29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5"/>
      <c r="AA49" s="5"/>
      <c r="AB49" s="5"/>
      <c r="AC49" s="5"/>
    </row>
    <row r="50" spans="1:29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5"/>
      <c r="AA50" s="5"/>
      <c r="AB50" s="5"/>
      <c r="AC50" s="5"/>
    </row>
    <row r="51" spans="1:29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5"/>
      <c r="AA51" s="5"/>
      <c r="AB51" s="5"/>
      <c r="AC51" s="5"/>
    </row>
    <row r="52" spans="1:29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5"/>
      <c r="AA52" s="5"/>
      <c r="AB52" s="5"/>
      <c r="AC52" s="5"/>
    </row>
    <row r="53" spans="1:29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5"/>
      <c r="AA53" s="5"/>
      <c r="AB53" s="5"/>
      <c r="AC53" s="5"/>
    </row>
    <row r="54" spans="1:29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5"/>
      <c r="AA54" s="5"/>
      <c r="AB54" s="5"/>
      <c r="AC54" s="5"/>
    </row>
    <row r="55" spans="1:29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5"/>
      <c r="AA55" s="5"/>
      <c r="AB55" s="5"/>
      <c r="AC55" s="5"/>
    </row>
    <row r="56" spans="1:29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5"/>
      <c r="AA56" s="5"/>
      <c r="AB56" s="5"/>
      <c r="AC56" s="5"/>
    </row>
    <row r="57" spans="1:29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5"/>
      <c r="AA57" s="5"/>
      <c r="AB57" s="5"/>
      <c r="AC57" s="5"/>
    </row>
    <row r="58" spans="1:29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5"/>
      <c r="AA58" s="5"/>
      <c r="AB58" s="5"/>
      <c r="AC58" s="5"/>
    </row>
    <row r="59" spans="1:29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5"/>
      <c r="AA59" s="5"/>
      <c r="AB59" s="5"/>
      <c r="AC59" s="5"/>
    </row>
    <row r="60" spans="1:29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6"/>
      <c r="Z60" s="6"/>
      <c r="AA60" s="6"/>
      <c r="AB60" s="6"/>
      <c r="AC60" s="6"/>
    </row>
    <row r="61" spans="1:29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topLeftCell="A12" zoomScale="82" zoomScaleNormal="82" workbookViewId="0">
      <selection activeCell="U32" sqref="U32"/>
    </sheetView>
  </sheetViews>
  <sheetFormatPr defaultColWidth="8.85546875" defaultRowHeight="15" x14ac:dyDescent="0.25"/>
  <cols>
    <col min="1" max="1" width="8.42578125" bestFit="1" customWidth="1"/>
    <col min="2" max="2" width="11.5703125" style="1" bestFit="1" customWidth="1"/>
    <col min="3" max="3" width="10.140625" style="1" bestFit="1" customWidth="1"/>
    <col min="4" max="4" width="8.140625" style="1" bestFit="1" customWidth="1"/>
    <col min="5" max="5" width="10.140625" style="1" bestFit="1" customWidth="1"/>
    <col min="6" max="6" width="12.85546875" style="1" bestFit="1" customWidth="1"/>
    <col min="7" max="7" width="7.5703125" style="1" bestFit="1" customWidth="1"/>
    <col min="8" max="8" width="14" bestFit="1" customWidth="1"/>
    <col min="9" max="10" width="14.140625" bestFit="1" customWidth="1"/>
    <col min="11" max="11" width="15.85546875" bestFit="1" customWidth="1"/>
    <col min="12" max="12" width="5.85546875" bestFit="1" customWidth="1"/>
    <col min="13" max="13" width="10.5703125" bestFit="1" customWidth="1"/>
    <col min="14" max="14" width="11.140625" bestFit="1" customWidth="1"/>
    <col min="15" max="15" width="14.42578125" bestFit="1" customWidth="1"/>
    <col min="16" max="16" width="11.85546875" bestFit="1" customWidth="1"/>
    <col min="17" max="17" width="11.5703125" bestFit="1" customWidth="1"/>
    <col min="18" max="18" width="12.140625" customWidth="1"/>
    <col min="19" max="19" width="13.7109375" customWidth="1"/>
    <col min="20" max="20" width="15.140625" customWidth="1"/>
    <col min="21" max="21" width="29.42578125" customWidth="1"/>
    <col min="22" max="22" width="21.42578125" customWidth="1"/>
  </cols>
  <sheetData>
    <row r="1" spans="1:24" s="2" customFormat="1" ht="26.4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157</v>
      </c>
      <c r="S1" s="9" t="s">
        <v>155</v>
      </c>
      <c r="T1" s="9" t="s">
        <v>156</v>
      </c>
      <c r="U1" s="9" t="s">
        <v>158</v>
      </c>
      <c r="V1" s="9" t="s">
        <v>159</v>
      </c>
      <c r="W1" s="10"/>
      <c r="X1" s="10"/>
    </row>
    <row r="2" spans="1:24" x14ac:dyDescent="0.25">
      <c r="A2" s="11">
        <v>1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1">
        <v>2011</v>
      </c>
      <c r="I2" s="11">
        <v>93000</v>
      </c>
      <c r="J2" s="11" t="s">
        <v>23</v>
      </c>
      <c r="K2" s="13">
        <v>45659</v>
      </c>
      <c r="L2" s="11">
        <v>12</v>
      </c>
      <c r="M2" s="11">
        <v>1560</v>
      </c>
      <c r="N2" s="14">
        <f>IF(F2="Moto",5%,IF(F2="Voiture",3%,6%))</f>
        <v>0.05</v>
      </c>
      <c r="O2" s="11">
        <f>I2*N2</f>
        <v>4650</v>
      </c>
      <c r="P2" s="11">
        <f>M2+O2</f>
        <v>6210</v>
      </c>
      <c r="Q2" s="11" t="str">
        <f>IF(P2&lt;2000,"Standard",IF(P2&lt;5000,"Premium","VIP"))</f>
        <v>VIP</v>
      </c>
      <c r="R2" s="15">
        <f>RANK(P2,P2:P41,0)</f>
        <v>36</v>
      </c>
      <c r="S2" s="15">
        <f>COUNTIF(J:J,"Tous Risques")</f>
        <v>13</v>
      </c>
      <c r="T2" s="15">
        <f>COUNTIF(F:F,"Voiture")</f>
        <v>13</v>
      </c>
      <c r="U2" s="15">
        <f>SUMIF(E:E,"Ouarzazate",P:P)</f>
        <v>72060</v>
      </c>
      <c r="V2" s="16">
        <f>SUMIF(F:F,"Camion",P:P)</f>
        <v>152100</v>
      </c>
    </row>
    <row r="3" spans="1:24" x14ac:dyDescent="0.25">
      <c r="A3" s="11">
        <v>2</v>
      </c>
      <c r="B3" s="12" t="s">
        <v>24</v>
      </c>
      <c r="C3" s="12" t="s">
        <v>25</v>
      </c>
      <c r="D3" s="12" t="s">
        <v>26</v>
      </c>
      <c r="E3" s="12" t="s">
        <v>20</v>
      </c>
      <c r="F3" s="12" t="s">
        <v>27</v>
      </c>
      <c r="G3" s="12" t="s">
        <v>28</v>
      </c>
      <c r="H3" s="11">
        <v>2012</v>
      </c>
      <c r="I3" s="11">
        <v>96000</v>
      </c>
      <c r="J3" s="11" t="s">
        <v>29</v>
      </c>
      <c r="K3" s="13">
        <v>45660</v>
      </c>
      <c r="L3" s="11">
        <v>12</v>
      </c>
      <c r="M3" s="11">
        <v>1620</v>
      </c>
      <c r="N3" s="14">
        <f t="shared" ref="N3:N41" si="0">IF(F3="Moto",5%,IF(F3="Voiture",3%,6%))</f>
        <v>0.06</v>
      </c>
      <c r="O3" s="11">
        <f t="shared" ref="O3:O41" si="1">I3*N3</f>
        <v>5760</v>
      </c>
      <c r="P3" s="11">
        <f t="shared" ref="P3:P41" si="2">M3+O3</f>
        <v>7380</v>
      </c>
      <c r="Q3" s="11" t="str">
        <f t="shared" ref="Q3:Q41" si="3">IF(P3&lt;2000,"Standard",IF(P3&lt;5000,"Premium","VIP"))</f>
        <v>VIP</v>
      </c>
      <c r="R3" s="15">
        <f t="shared" ref="R3:R41" si="4">RANK(P3,P3:P42,0)</f>
        <v>31</v>
      </c>
    </row>
    <row r="4" spans="1:24" x14ac:dyDescent="0.25">
      <c r="A4" s="11">
        <v>3</v>
      </c>
      <c r="B4" s="12" t="s">
        <v>30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  <c r="H4" s="11">
        <v>2013</v>
      </c>
      <c r="I4" s="11">
        <v>99000</v>
      </c>
      <c r="J4" s="11" t="s">
        <v>36</v>
      </c>
      <c r="K4" s="13">
        <v>45661</v>
      </c>
      <c r="L4" s="11">
        <v>12</v>
      </c>
      <c r="M4" s="11">
        <v>1680</v>
      </c>
      <c r="N4" s="14">
        <f t="shared" si="0"/>
        <v>0.03</v>
      </c>
      <c r="O4" s="11">
        <f t="shared" si="1"/>
        <v>2970</v>
      </c>
      <c r="P4" s="11">
        <f t="shared" si="2"/>
        <v>4650</v>
      </c>
      <c r="Q4" s="11" t="str">
        <f t="shared" si="3"/>
        <v>Premium</v>
      </c>
      <c r="R4" s="15">
        <f t="shared" si="4"/>
        <v>38</v>
      </c>
    </row>
    <row r="5" spans="1:24" x14ac:dyDescent="0.25">
      <c r="A5" s="11">
        <v>4</v>
      </c>
      <c r="B5" s="12" t="s">
        <v>37</v>
      </c>
      <c r="C5" s="12" t="s">
        <v>38</v>
      </c>
      <c r="D5" s="12" t="s">
        <v>39</v>
      </c>
      <c r="E5" s="12" t="s">
        <v>40</v>
      </c>
      <c r="F5" s="12" t="s">
        <v>21</v>
      </c>
      <c r="G5" s="12" t="s">
        <v>41</v>
      </c>
      <c r="H5" s="11">
        <v>2014</v>
      </c>
      <c r="I5" s="11">
        <v>102000</v>
      </c>
      <c r="J5" s="11" t="s">
        <v>23</v>
      </c>
      <c r="K5" s="13">
        <v>45662</v>
      </c>
      <c r="L5" s="11">
        <v>12</v>
      </c>
      <c r="M5" s="11">
        <v>1740</v>
      </c>
      <c r="N5" s="14">
        <f t="shared" si="0"/>
        <v>0.05</v>
      </c>
      <c r="O5" s="11">
        <f t="shared" si="1"/>
        <v>5100</v>
      </c>
      <c r="P5" s="11">
        <f t="shared" si="2"/>
        <v>6840</v>
      </c>
      <c r="Q5" s="11" t="str">
        <f t="shared" si="3"/>
        <v>VIP</v>
      </c>
      <c r="R5" s="15">
        <f t="shared" si="4"/>
        <v>33</v>
      </c>
    </row>
    <row r="6" spans="1:24" x14ac:dyDescent="0.25">
      <c r="A6" s="11">
        <v>5</v>
      </c>
      <c r="B6" s="12" t="s">
        <v>42</v>
      </c>
      <c r="C6" s="12" t="s">
        <v>43</v>
      </c>
      <c r="D6" s="12" t="s">
        <v>44</v>
      </c>
      <c r="E6" s="12" t="s">
        <v>45</v>
      </c>
      <c r="F6" s="12" t="s">
        <v>27</v>
      </c>
      <c r="G6" s="12" t="s">
        <v>46</v>
      </c>
      <c r="H6" s="11">
        <v>2015</v>
      </c>
      <c r="I6" s="11">
        <v>105000</v>
      </c>
      <c r="J6" s="11" t="s">
        <v>29</v>
      </c>
      <c r="K6" s="13">
        <v>45663</v>
      </c>
      <c r="L6" s="11">
        <v>12</v>
      </c>
      <c r="M6" s="11">
        <v>1800</v>
      </c>
      <c r="N6" s="14">
        <f t="shared" si="0"/>
        <v>0.06</v>
      </c>
      <c r="O6" s="11">
        <f t="shared" si="1"/>
        <v>6300</v>
      </c>
      <c r="P6" s="11">
        <f t="shared" si="2"/>
        <v>8100</v>
      </c>
      <c r="Q6" s="11" t="str">
        <f t="shared" si="3"/>
        <v>VIP</v>
      </c>
      <c r="R6" s="15">
        <f t="shared" si="4"/>
        <v>27</v>
      </c>
    </row>
    <row r="7" spans="1:24" x14ac:dyDescent="0.25">
      <c r="A7" s="11">
        <v>6</v>
      </c>
      <c r="B7" s="12" t="s">
        <v>47</v>
      </c>
      <c r="C7" s="12" t="s">
        <v>48</v>
      </c>
      <c r="D7" s="12" t="s">
        <v>49</v>
      </c>
      <c r="E7" s="12" t="s">
        <v>50</v>
      </c>
      <c r="F7" s="12" t="s">
        <v>34</v>
      </c>
      <c r="G7" s="12" t="s">
        <v>51</v>
      </c>
      <c r="H7" s="11">
        <v>2016</v>
      </c>
      <c r="I7" s="11">
        <v>108000</v>
      </c>
      <c r="J7" s="11" t="s">
        <v>36</v>
      </c>
      <c r="K7" s="13">
        <v>45664</v>
      </c>
      <c r="L7" s="11">
        <v>12</v>
      </c>
      <c r="M7" s="11">
        <v>1860</v>
      </c>
      <c r="N7" s="14">
        <f t="shared" si="0"/>
        <v>0.03</v>
      </c>
      <c r="O7" s="11">
        <f t="shared" si="1"/>
        <v>3240</v>
      </c>
      <c r="P7" s="11">
        <f t="shared" si="2"/>
        <v>5100</v>
      </c>
      <c r="Q7" s="11" t="str">
        <f t="shared" si="3"/>
        <v>VIP</v>
      </c>
      <c r="R7" s="15">
        <f t="shared" si="4"/>
        <v>35</v>
      </c>
    </row>
    <row r="8" spans="1:24" x14ac:dyDescent="0.25">
      <c r="A8" s="11">
        <v>7</v>
      </c>
      <c r="B8" s="12" t="s">
        <v>52</v>
      </c>
      <c r="C8" s="12" t="s">
        <v>53</v>
      </c>
      <c r="D8" s="12" t="s">
        <v>54</v>
      </c>
      <c r="E8" s="12" t="s">
        <v>33</v>
      </c>
      <c r="F8" s="12" t="s">
        <v>21</v>
      </c>
      <c r="G8" s="12" t="s">
        <v>22</v>
      </c>
      <c r="H8" s="11">
        <v>2017</v>
      </c>
      <c r="I8" s="11">
        <v>111000</v>
      </c>
      <c r="J8" s="11" t="s">
        <v>23</v>
      </c>
      <c r="K8" s="13">
        <v>45665</v>
      </c>
      <c r="L8" s="11">
        <v>12</v>
      </c>
      <c r="M8" s="11">
        <v>1920</v>
      </c>
      <c r="N8" s="14">
        <f t="shared" si="0"/>
        <v>0.05</v>
      </c>
      <c r="O8" s="11">
        <f t="shared" si="1"/>
        <v>5550</v>
      </c>
      <c r="P8" s="11">
        <f t="shared" si="2"/>
        <v>7470</v>
      </c>
      <c r="Q8" s="11" t="str">
        <f t="shared" si="3"/>
        <v>VIP</v>
      </c>
      <c r="R8" s="15">
        <f t="shared" si="4"/>
        <v>29</v>
      </c>
    </row>
    <row r="9" spans="1:24" x14ac:dyDescent="0.25">
      <c r="A9" s="11">
        <v>8</v>
      </c>
      <c r="B9" s="12" t="s">
        <v>55</v>
      </c>
      <c r="C9" s="12" t="s">
        <v>56</v>
      </c>
      <c r="D9" s="12" t="s">
        <v>57</v>
      </c>
      <c r="E9" s="12" t="s">
        <v>58</v>
      </c>
      <c r="F9" s="12" t="s">
        <v>27</v>
      </c>
      <c r="G9" s="12" t="s">
        <v>28</v>
      </c>
      <c r="H9" s="11">
        <v>2018</v>
      </c>
      <c r="I9" s="11">
        <v>114000</v>
      </c>
      <c r="J9" s="11" t="s">
        <v>29</v>
      </c>
      <c r="K9" s="13">
        <v>45666</v>
      </c>
      <c r="L9" s="11">
        <v>12</v>
      </c>
      <c r="M9" s="11">
        <v>1980</v>
      </c>
      <c r="N9" s="14">
        <f t="shared" si="0"/>
        <v>0.06</v>
      </c>
      <c r="O9" s="11">
        <f t="shared" si="1"/>
        <v>6840</v>
      </c>
      <c r="P9" s="11">
        <f t="shared" si="2"/>
        <v>8820</v>
      </c>
      <c r="Q9" s="11" t="str">
        <f t="shared" si="3"/>
        <v>VIP</v>
      </c>
      <c r="R9" s="15">
        <f t="shared" si="4"/>
        <v>23</v>
      </c>
    </row>
    <row r="10" spans="1:24" x14ac:dyDescent="0.25">
      <c r="A10" s="11">
        <v>9</v>
      </c>
      <c r="B10" s="12" t="s">
        <v>59</v>
      </c>
      <c r="C10" s="12" t="s">
        <v>60</v>
      </c>
      <c r="D10" s="12" t="s">
        <v>61</v>
      </c>
      <c r="E10" s="12" t="s">
        <v>40</v>
      </c>
      <c r="F10" s="12" t="s">
        <v>34</v>
      </c>
      <c r="G10" s="12" t="s">
        <v>35</v>
      </c>
      <c r="H10" s="11">
        <v>2019</v>
      </c>
      <c r="I10" s="11">
        <v>117000</v>
      </c>
      <c r="J10" s="11" t="s">
        <v>36</v>
      </c>
      <c r="K10" s="13">
        <v>45667</v>
      </c>
      <c r="L10" s="11">
        <v>12</v>
      </c>
      <c r="M10" s="11">
        <v>2040</v>
      </c>
      <c r="N10" s="14">
        <f t="shared" si="0"/>
        <v>0.03</v>
      </c>
      <c r="O10" s="11">
        <f t="shared" si="1"/>
        <v>3510</v>
      </c>
      <c r="P10" s="11">
        <f t="shared" si="2"/>
        <v>5550</v>
      </c>
      <c r="Q10" s="11" t="str">
        <f t="shared" si="3"/>
        <v>VIP</v>
      </c>
      <c r="R10" s="15">
        <f t="shared" si="4"/>
        <v>32</v>
      </c>
      <c r="T10" s="17" t="s">
        <v>160</v>
      </c>
      <c r="U10" s="15">
        <v>3</v>
      </c>
    </row>
    <row r="11" spans="1:24" x14ac:dyDescent="0.25">
      <c r="A11" s="11">
        <v>10</v>
      </c>
      <c r="B11" s="12" t="s">
        <v>62</v>
      </c>
      <c r="C11" s="12" t="s">
        <v>63</v>
      </c>
      <c r="D11" s="12" t="s">
        <v>64</v>
      </c>
      <c r="E11" s="12" t="s">
        <v>50</v>
      </c>
      <c r="F11" s="12" t="s">
        <v>21</v>
      </c>
      <c r="G11" s="12" t="s">
        <v>41</v>
      </c>
      <c r="H11" s="11">
        <v>2020</v>
      </c>
      <c r="I11" s="11">
        <v>120000</v>
      </c>
      <c r="J11" s="11" t="s">
        <v>23</v>
      </c>
      <c r="K11" s="13">
        <v>45668</v>
      </c>
      <c r="L11" s="11">
        <v>12</v>
      </c>
      <c r="M11" s="11">
        <v>2100</v>
      </c>
      <c r="N11" s="14">
        <f t="shared" si="0"/>
        <v>0.05</v>
      </c>
      <c r="O11" s="11">
        <f t="shared" si="1"/>
        <v>6000</v>
      </c>
      <c r="P11" s="11">
        <f t="shared" si="2"/>
        <v>8100</v>
      </c>
      <c r="Q11" s="11" t="str">
        <f t="shared" si="3"/>
        <v>VIP</v>
      </c>
      <c r="R11" s="15">
        <f t="shared" si="4"/>
        <v>26</v>
      </c>
      <c r="T11" s="17" t="s">
        <v>161</v>
      </c>
      <c r="U11" s="15" t="str">
        <f>INDEX(B:B,MATCH(U10,A:A,0))</f>
        <v>Benali</v>
      </c>
    </row>
    <row r="12" spans="1:24" x14ac:dyDescent="0.25">
      <c r="A12" s="11">
        <v>11</v>
      </c>
      <c r="B12" s="12" t="s">
        <v>65</v>
      </c>
      <c r="C12" s="12" t="s">
        <v>66</v>
      </c>
      <c r="D12" s="12" t="s">
        <v>67</v>
      </c>
      <c r="E12" s="12" t="s">
        <v>45</v>
      </c>
      <c r="F12" s="12" t="s">
        <v>27</v>
      </c>
      <c r="G12" s="12" t="s">
        <v>46</v>
      </c>
      <c r="H12" s="11">
        <v>2021</v>
      </c>
      <c r="I12" s="11">
        <v>123000</v>
      </c>
      <c r="J12" s="11" t="s">
        <v>29</v>
      </c>
      <c r="K12" s="13">
        <v>45669</v>
      </c>
      <c r="L12" s="11">
        <v>12</v>
      </c>
      <c r="M12" s="11">
        <v>2160</v>
      </c>
      <c r="N12" s="14">
        <f t="shared" si="0"/>
        <v>0.06</v>
      </c>
      <c r="O12" s="11">
        <f t="shared" si="1"/>
        <v>7380</v>
      </c>
      <c r="P12" s="11">
        <f t="shared" si="2"/>
        <v>9540</v>
      </c>
      <c r="Q12" s="11" t="str">
        <f t="shared" si="3"/>
        <v>VIP</v>
      </c>
      <c r="R12" s="15">
        <f t="shared" si="4"/>
        <v>20</v>
      </c>
      <c r="T12" s="17" t="s">
        <v>162</v>
      </c>
      <c r="U12" s="15">
        <f>INDEX(P:P,MATCH(U10,A:A,0))</f>
        <v>4650</v>
      </c>
    </row>
    <row r="13" spans="1:24" x14ac:dyDescent="0.25">
      <c r="A13" s="11">
        <v>12</v>
      </c>
      <c r="B13" s="12" t="s">
        <v>68</v>
      </c>
      <c r="C13" s="12" t="s">
        <v>69</v>
      </c>
      <c r="D13" s="12" t="s">
        <v>70</v>
      </c>
      <c r="E13" s="12" t="s">
        <v>33</v>
      </c>
      <c r="F13" s="12" t="s">
        <v>34</v>
      </c>
      <c r="G13" s="12" t="s">
        <v>51</v>
      </c>
      <c r="H13" s="11">
        <v>2022</v>
      </c>
      <c r="I13" s="11">
        <v>126000</v>
      </c>
      <c r="J13" s="11" t="s">
        <v>36</v>
      </c>
      <c r="K13" s="13">
        <v>45670</v>
      </c>
      <c r="L13" s="11">
        <v>12</v>
      </c>
      <c r="M13" s="11">
        <v>2220</v>
      </c>
      <c r="N13" s="14">
        <f t="shared" si="0"/>
        <v>0.03</v>
      </c>
      <c r="O13" s="11">
        <f t="shared" si="1"/>
        <v>3780</v>
      </c>
      <c r="P13" s="11">
        <f t="shared" si="2"/>
        <v>6000</v>
      </c>
      <c r="Q13" s="11" t="str">
        <f t="shared" si="3"/>
        <v>VIP</v>
      </c>
      <c r="R13" s="15">
        <f t="shared" si="4"/>
        <v>29</v>
      </c>
    </row>
    <row r="14" spans="1:24" x14ac:dyDescent="0.25">
      <c r="A14" s="11">
        <v>13</v>
      </c>
      <c r="B14" s="12" t="s">
        <v>71</v>
      </c>
      <c r="C14" s="12" t="s">
        <v>72</v>
      </c>
      <c r="D14" s="12" t="s">
        <v>73</v>
      </c>
      <c r="E14" s="12" t="s">
        <v>20</v>
      </c>
      <c r="F14" s="12" t="s">
        <v>21</v>
      </c>
      <c r="G14" s="12" t="s">
        <v>22</v>
      </c>
      <c r="H14" s="11">
        <v>2023</v>
      </c>
      <c r="I14" s="11">
        <v>129000</v>
      </c>
      <c r="J14" s="11" t="s">
        <v>23</v>
      </c>
      <c r="K14" s="13">
        <v>45671</v>
      </c>
      <c r="L14" s="11">
        <v>12</v>
      </c>
      <c r="M14" s="11">
        <v>2280</v>
      </c>
      <c r="N14" s="14">
        <f t="shared" si="0"/>
        <v>0.05</v>
      </c>
      <c r="O14" s="11">
        <f t="shared" si="1"/>
        <v>6450</v>
      </c>
      <c r="P14" s="11">
        <f t="shared" si="2"/>
        <v>8730</v>
      </c>
      <c r="Q14" s="11" t="str">
        <f t="shared" si="3"/>
        <v>VIP</v>
      </c>
      <c r="R14" s="15">
        <f t="shared" si="4"/>
        <v>22</v>
      </c>
    </row>
    <row r="15" spans="1:24" x14ac:dyDescent="0.25">
      <c r="A15" s="11">
        <v>14</v>
      </c>
      <c r="B15" s="12" t="s">
        <v>74</v>
      </c>
      <c r="C15" s="12" t="s">
        <v>75</v>
      </c>
      <c r="D15" s="12" t="s">
        <v>76</v>
      </c>
      <c r="E15" s="12" t="s">
        <v>50</v>
      </c>
      <c r="F15" s="12" t="s">
        <v>27</v>
      </c>
      <c r="G15" s="12" t="s">
        <v>28</v>
      </c>
      <c r="H15" s="11">
        <v>2010</v>
      </c>
      <c r="I15" s="11">
        <v>132000</v>
      </c>
      <c r="J15" s="11" t="s">
        <v>29</v>
      </c>
      <c r="K15" s="13">
        <v>45672</v>
      </c>
      <c r="L15" s="11">
        <v>12</v>
      </c>
      <c r="M15" s="11">
        <v>2340</v>
      </c>
      <c r="N15" s="14">
        <f t="shared" si="0"/>
        <v>0.06</v>
      </c>
      <c r="O15" s="11">
        <f t="shared" si="1"/>
        <v>7920</v>
      </c>
      <c r="P15" s="11">
        <f t="shared" si="2"/>
        <v>10260</v>
      </c>
      <c r="Q15" s="11" t="str">
        <f t="shared" si="3"/>
        <v>VIP</v>
      </c>
      <c r="R15" s="15">
        <f t="shared" si="4"/>
        <v>16</v>
      </c>
    </row>
    <row r="16" spans="1:24" x14ac:dyDescent="0.25">
      <c r="A16" s="11">
        <v>15</v>
      </c>
      <c r="B16" s="12" t="s">
        <v>77</v>
      </c>
      <c r="C16" s="12" t="s">
        <v>78</v>
      </c>
      <c r="D16" s="12" t="s">
        <v>79</v>
      </c>
      <c r="E16" s="12" t="s">
        <v>45</v>
      </c>
      <c r="F16" s="12" t="s">
        <v>34</v>
      </c>
      <c r="G16" s="12" t="s">
        <v>35</v>
      </c>
      <c r="H16" s="11">
        <v>2011</v>
      </c>
      <c r="I16" s="11">
        <v>135000</v>
      </c>
      <c r="J16" s="11" t="s">
        <v>36</v>
      </c>
      <c r="K16" s="13">
        <v>45673</v>
      </c>
      <c r="L16" s="11">
        <v>12</v>
      </c>
      <c r="M16" s="11">
        <v>2400</v>
      </c>
      <c r="N16" s="14">
        <f t="shared" si="0"/>
        <v>0.03</v>
      </c>
      <c r="O16" s="11">
        <f t="shared" si="1"/>
        <v>4050</v>
      </c>
      <c r="P16" s="11">
        <f t="shared" si="2"/>
        <v>6450</v>
      </c>
      <c r="Q16" s="11" t="str">
        <f t="shared" si="3"/>
        <v>VIP</v>
      </c>
      <c r="R16" s="15">
        <f t="shared" si="4"/>
        <v>26</v>
      </c>
    </row>
    <row r="17" spans="1:18" x14ac:dyDescent="0.25">
      <c r="A17" s="11">
        <v>16</v>
      </c>
      <c r="B17" s="12" t="s">
        <v>80</v>
      </c>
      <c r="C17" s="12" t="s">
        <v>81</v>
      </c>
      <c r="D17" s="12" t="s">
        <v>82</v>
      </c>
      <c r="E17" s="12" t="s">
        <v>40</v>
      </c>
      <c r="F17" s="12" t="s">
        <v>21</v>
      </c>
      <c r="G17" s="12" t="s">
        <v>41</v>
      </c>
      <c r="H17" s="11">
        <v>2012</v>
      </c>
      <c r="I17" s="11">
        <v>138000</v>
      </c>
      <c r="J17" s="11" t="s">
        <v>23</v>
      </c>
      <c r="K17" s="13">
        <v>45674</v>
      </c>
      <c r="L17" s="11">
        <v>12</v>
      </c>
      <c r="M17" s="11">
        <v>2460</v>
      </c>
      <c r="N17" s="14">
        <f t="shared" si="0"/>
        <v>0.05</v>
      </c>
      <c r="O17" s="11">
        <f t="shared" si="1"/>
        <v>6900</v>
      </c>
      <c r="P17" s="11">
        <f t="shared" si="2"/>
        <v>9360</v>
      </c>
      <c r="Q17" s="11" t="str">
        <f t="shared" si="3"/>
        <v>VIP</v>
      </c>
      <c r="R17" s="15">
        <f t="shared" si="4"/>
        <v>19</v>
      </c>
    </row>
    <row r="18" spans="1:18" x14ac:dyDescent="0.25">
      <c r="A18" s="11">
        <v>17</v>
      </c>
      <c r="B18" s="12" t="s">
        <v>83</v>
      </c>
      <c r="C18" s="12" t="s">
        <v>84</v>
      </c>
      <c r="D18" s="12" t="s">
        <v>85</v>
      </c>
      <c r="E18" s="12" t="s">
        <v>33</v>
      </c>
      <c r="F18" s="12" t="s">
        <v>27</v>
      </c>
      <c r="G18" s="12" t="s">
        <v>46</v>
      </c>
      <c r="H18" s="11">
        <v>2013</v>
      </c>
      <c r="I18" s="11">
        <v>141000</v>
      </c>
      <c r="J18" s="11" t="s">
        <v>29</v>
      </c>
      <c r="K18" s="13">
        <v>45675</v>
      </c>
      <c r="L18" s="11">
        <v>12</v>
      </c>
      <c r="M18" s="11">
        <v>2520</v>
      </c>
      <c r="N18" s="14">
        <f t="shared" si="0"/>
        <v>0.06</v>
      </c>
      <c r="O18" s="11">
        <f t="shared" si="1"/>
        <v>8460</v>
      </c>
      <c r="P18" s="11">
        <f t="shared" si="2"/>
        <v>10980</v>
      </c>
      <c r="Q18" s="11" t="str">
        <f t="shared" si="3"/>
        <v>VIP</v>
      </c>
      <c r="R18" s="15">
        <f t="shared" si="4"/>
        <v>14</v>
      </c>
    </row>
    <row r="19" spans="1:18" x14ac:dyDescent="0.25">
      <c r="A19" s="11">
        <v>18</v>
      </c>
      <c r="B19" s="12" t="s">
        <v>86</v>
      </c>
      <c r="C19" s="12" t="s">
        <v>87</v>
      </c>
      <c r="D19" s="12" t="s">
        <v>88</v>
      </c>
      <c r="E19" s="12" t="s">
        <v>20</v>
      </c>
      <c r="F19" s="12" t="s">
        <v>34</v>
      </c>
      <c r="G19" s="12" t="s">
        <v>51</v>
      </c>
      <c r="H19" s="11">
        <v>2014</v>
      </c>
      <c r="I19" s="11">
        <v>144000</v>
      </c>
      <c r="J19" s="11" t="s">
        <v>36</v>
      </c>
      <c r="K19" s="13">
        <v>45676</v>
      </c>
      <c r="L19" s="11">
        <v>12</v>
      </c>
      <c r="M19" s="11">
        <v>2580</v>
      </c>
      <c r="N19" s="14">
        <f t="shared" si="0"/>
        <v>0.03</v>
      </c>
      <c r="O19" s="11">
        <f t="shared" si="1"/>
        <v>4320</v>
      </c>
      <c r="P19" s="11">
        <f t="shared" si="2"/>
        <v>6900</v>
      </c>
      <c r="Q19" s="11" t="str">
        <f t="shared" si="3"/>
        <v>VIP</v>
      </c>
      <c r="R19" s="15">
        <f t="shared" si="4"/>
        <v>23</v>
      </c>
    </row>
    <row r="20" spans="1:18" x14ac:dyDescent="0.25">
      <c r="A20" s="11">
        <v>19</v>
      </c>
      <c r="B20" s="12" t="s">
        <v>89</v>
      </c>
      <c r="C20" s="12" t="s">
        <v>90</v>
      </c>
      <c r="D20" s="12" t="s">
        <v>91</v>
      </c>
      <c r="E20" s="12" t="s">
        <v>50</v>
      </c>
      <c r="F20" s="12" t="s">
        <v>21</v>
      </c>
      <c r="G20" s="12" t="s">
        <v>22</v>
      </c>
      <c r="H20" s="11">
        <v>2015</v>
      </c>
      <c r="I20" s="11">
        <v>147000</v>
      </c>
      <c r="J20" s="11" t="s">
        <v>23</v>
      </c>
      <c r="K20" s="13">
        <v>45677</v>
      </c>
      <c r="L20" s="11">
        <v>12</v>
      </c>
      <c r="M20" s="11">
        <v>2640</v>
      </c>
      <c r="N20" s="14">
        <f t="shared" si="0"/>
        <v>0.05</v>
      </c>
      <c r="O20" s="11">
        <f t="shared" si="1"/>
        <v>7350</v>
      </c>
      <c r="P20" s="11">
        <f t="shared" si="2"/>
        <v>9990</v>
      </c>
      <c r="Q20" s="11" t="str">
        <f t="shared" si="3"/>
        <v>VIP</v>
      </c>
      <c r="R20" s="15">
        <f t="shared" si="4"/>
        <v>16</v>
      </c>
    </row>
    <row r="21" spans="1:18" x14ac:dyDescent="0.25">
      <c r="A21" s="11">
        <v>20</v>
      </c>
      <c r="B21" s="12" t="s">
        <v>92</v>
      </c>
      <c r="C21" s="12" t="s">
        <v>93</v>
      </c>
      <c r="D21" s="12" t="s">
        <v>94</v>
      </c>
      <c r="E21" s="12" t="s">
        <v>45</v>
      </c>
      <c r="F21" s="12" t="s">
        <v>27</v>
      </c>
      <c r="G21" s="12" t="s">
        <v>28</v>
      </c>
      <c r="H21" s="11">
        <v>2016</v>
      </c>
      <c r="I21" s="11">
        <v>150000</v>
      </c>
      <c r="J21" s="11" t="s">
        <v>29</v>
      </c>
      <c r="K21" s="13">
        <v>45678</v>
      </c>
      <c r="L21" s="11">
        <v>12</v>
      </c>
      <c r="M21" s="11">
        <v>2700</v>
      </c>
      <c r="N21" s="14">
        <f t="shared" si="0"/>
        <v>0.06</v>
      </c>
      <c r="O21" s="11">
        <f t="shared" si="1"/>
        <v>9000</v>
      </c>
      <c r="P21" s="11">
        <f t="shared" si="2"/>
        <v>11700</v>
      </c>
      <c r="Q21" s="11" t="str">
        <f t="shared" si="3"/>
        <v>VIP</v>
      </c>
      <c r="R21" s="15">
        <f t="shared" si="4"/>
        <v>12</v>
      </c>
    </row>
    <row r="22" spans="1:18" x14ac:dyDescent="0.25">
      <c r="A22" s="11">
        <v>21</v>
      </c>
      <c r="B22" s="12" t="s">
        <v>95</v>
      </c>
      <c r="C22" s="12" t="s">
        <v>96</v>
      </c>
      <c r="D22" s="12" t="s">
        <v>97</v>
      </c>
      <c r="E22" s="12" t="s">
        <v>40</v>
      </c>
      <c r="F22" s="12" t="s">
        <v>34</v>
      </c>
      <c r="G22" s="12" t="s">
        <v>35</v>
      </c>
      <c r="H22" s="11">
        <v>2017</v>
      </c>
      <c r="I22" s="11">
        <v>153000</v>
      </c>
      <c r="J22" s="11" t="s">
        <v>36</v>
      </c>
      <c r="K22" s="13">
        <v>45679</v>
      </c>
      <c r="L22" s="11">
        <v>12</v>
      </c>
      <c r="M22" s="11">
        <v>2760</v>
      </c>
      <c r="N22" s="14">
        <f t="shared" si="0"/>
        <v>0.03</v>
      </c>
      <c r="O22" s="11">
        <f t="shared" si="1"/>
        <v>4590</v>
      </c>
      <c r="P22" s="11">
        <f t="shared" si="2"/>
        <v>7350</v>
      </c>
      <c r="Q22" s="11" t="str">
        <f t="shared" si="3"/>
        <v>VIP</v>
      </c>
      <c r="R22" s="15">
        <f t="shared" si="4"/>
        <v>20</v>
      </c>
    </row>
    <row r="23" spans="1:18" x14ac:dyDescent="0.25">
      <c r="A23" s="11">
        <v>22</v>
      </c>
      <c r="B23" s="12" t="s">
        <v>98</v>
      </c>
      <c r="C23" s="12" t="s">
        <v>99</v>
      </c>
      <c r="D23" s="12" t="s">
        <v>100</v>
      </c>
      <c r="E23" s="12" t="s">
        <v>33</v>
      </c>
      <c r="F23" s="12" t="s">
        <v>21</v>
      </c>
      <c r="G23" s="12" t="s">
        <v>41</v>
      </c>
      <c r="H23" s="11">
        <v>2018</v>
      </c>
      <c r="I23" s="11">
        <v>156000</v>
      </c>
      <c r="J23" s="11" t="s">
        <v>23</v>
      </c>
      <c r="K23" s="13">
        <v>45680</v>
      </c>
      <c r="L23" s="11">
        <v>12</v>
      </c>
      <c r="M23" s="11">
        <v>2820</v>
      </c>
      <c r="N23" s="14">
        <f t="shared" si="0"/>
        <v>0.05</v>
      </c>
      <c r="O23" s="11">
        <f t="shared" si="1"/>
        <v>7800</v>
      </c>
      <c r="P23" s="11">
        <f t="shared" si="2"/>
        <v>10620</v>
      </c>
      <c r="Q23" s="11" t="str">
        <f t="shared" si="3"/>
        <v>VIP</v>
      </c>
      <c r="R23" s="15">
        <f t="shared" si="4"/>
        <v>13</v>
      </c>
    </row>
    <row r="24" spans="1:18" x14ac:dyDescent="0.25">
      <c r="A24" s="11">
        <v>23</v>
      </c>
      <c r="B24" s="12" t="s">
        <v>101</v>
      </c>
      <c r="C24" s="12" t="s">
        <v>102</v>
      </c>
      <c r="D24" s="12" t="s">
        <v>103</v>
      </c>
      <c r="E24" s="12" t="s">
        <v>50</v>
      </c>
      <c r="F24" s="12" t="s">
        <v>27</v>
      </c>
      <c r="G24" s="12" t="s">
        <v>46</v>
      </c>
      <c r="H24" s="11">
        <v>2019</v>
      </c>
      <c r="I24" s="11">
        <v>159000</v>
      </c>
      <c r="J24" s="11" t="s">
        <v>29</v>
      </c>
      <c r="K24" s="13">
        <v>45681</v>
      </c>
      <c r="L24" s="11">
        <v>12</v>
      </c>
      <c r="M24" s="11">
        <v>2880</v>
      </c>
      <c r="N24" s="14">
        <f t="shared" si="0"/>
        <v>0.06</v>
      </c>
      <c r="O24" s="11">
        <f t="shared" si="1"/>
        <v>9540</v>
      </c>
      <c r="P24" s="11">
        <f t="shared" si="2"/>
        <v>12420</v>
      </c>
      <c r="Q24" s="11" t="str">
        <f t="shared" si="3"/>
        <v>VIP</v>
      </c>
      <c r="R24" s="15">
        <f t="shared" si="4"/>
        <v>10</v>
      </c>
    </row>
    <row r="25" spans="1:18" x14ac:dyDescent="0.25">
      <c r="A25" s="11">
        <v>24</v>
      </c>
      <c r="B25" s="12" t="s">
        <v>104</v>
      </c>
      <c r="C25" s="12" t="s">
        <v>105</v>
      </c>
      <c r="D25" s="12" t="s">
        <v>106</v>
      </c>
      <c r="E25" s="12" t="s">
        <v>40</v>
      </c>
      <c r="F25" s="12" t="s">
        <v>34</v>
      </c>
      <c r="G25" s="12" t="s">
        <v>51</v>
      </c>
      <c r="H25" s="11">
        <v>2020</v>
      </c>
      <c r="I25" s="11">
        <v>162000</v>
      </c>
      <c r="J25" s="11" t="s">
        <v>36</v>
      </c>
      <c r="K25" s="13">
        <v>45682</v>
      </c>
      <c r="L25" s="11">
        <v>12</v>
      </c>
      <c r="M25" s="11">
        <v>2940</v>
      </c>
      <c r="N25" s="14">
        <f t="shared" si="0"/>
        <v>0.03</v>
      </c>
      <c r="O25" s="11">
        <f t="shared" si="1"/>
        <v>4860</v>
      </c>
      <c r="P25" s="11">
        <f t="shared" si="2"/>
        <v>7800</v>
      </c>
      <c r="Q25" s="11" t="str">
        <f t="shared" si="3"/>
        <v>VIP</v>
      </c>
      <c r="R25" s="15">
        <f t="shared" si="4"/>
        <v>17</v>
      </c>
    </row>
    <row r="26" spans="1:18" x14ac:dyDescent="0.25">
      <c r="A26" s="11">
        <v>25</v>
      </c>
      <c r="B26" s="12" t="s">
        <v>107</v>
      </c>
      <c r="C26" s="12" t="s">
        <v>108</v>
      </c>
      <c r="D26" s="12" t="s">
        <v>109</v>
      </c>
      <c r="E26" s="12" t="s">
        <v>45</v>
      </c>
      <c r="F26" s="12" t="s">
        <v>21</v>
      </c>
      <c r="G26" s="12" t="s">
        <v>22</v>
      </c>
      <c r="H26" s="11">
        <v>2021</v>
      </c>
      <c r="I26" s="11">
        <v>165000</v>
      </c>
      <c r="J26" s="11" t="s">
        <v>23</v>
      </c>
      <c r="K26" s="13">
        <v>45683</v>
      </c>
      <c r="L26" s="11">
        <v>12</v>
      </c>
      <c r="M26" s="11">
        <v>3000</v>
      </c>
      <c r="N26" s="14">
        <f t="shared" si="0"/>
        <v>0.05</v>
      </c>
      <c r="O26" s="11">
        <f t="shared" si="1"/>
        <v>8250</v>
      </c>
      <c r="P26" s="11">
        <f t="shared" si="2"/>
        <v>11250</v>
      </c>
      <c r="Q26" s="11" t="str">
        <f t="shared" si="3"/>
        <v>VIP</v>
      </c>
      <c r="R26" s="15">
        <f t="shared" si="4"/>
        <v>11</v>
      </c>
    </row>
    <row r="27" spans="1:18" x14ac:dyDescent="0.25">
      <c r="A27" s="11">
        <v>26</v>
      </c>
      <c r="B27" s="12" t="s">
        <v>110</v>
      </c>
      <c r="C27" s="12" t="s">
        <v>111</v>
      </c>
      <c r="D27" s="12" t="s">
        <v>112</v>
      </c>
      <c r="E27" s="12" t="s">
        <v>20</v>
      </c>
      <c r="F27" s="12" t="s">
        <v>27</v>
      </c>
      <c r="G27" s="12" t="s">
        <v>28</v>
      </c>
      <c r="H27" s="11">
        <v>2022</v>
      </c>
      <c r="I27" s="11">
        <v>168000</v>
      </c>
      <c r="J27" s="11" t="s">
        <v>29</v>
      </c>
      <c r="K27" s="13">
        <v>45684</v>
      </c>
      <c r="L27" s="11">
        <v>12</v>
      </c>
      <c r="M27" s="11">
        <v>3060</v>
      </c>
      <c r="N27" s="14">
        <f t="shared" si="0"/>
        <v>0.06</v>
      </c>
      <c r="O27" s="11">
        <f t="shared" si="1"/>
        <v>10080</v>
      </c>
      <c r="P27" s="11">
        <f t="shared" si="2"/>
        <v>13140</v>
      </c>
      <c r="Q27" s="11" t="str">
        <f t="shared" si="3"/>
        <v>VIP</v>
      </c>
      <c r="R27" s="15">
        <f t="shared" si="4"/>
        <v>7</v>
      </c>
    </row>
    <row r="28" spans="1:18" x14ac:dyDescent="0.25">
      <c r="A28" s="11">
        <v>27</v>
      </c>
      <c r="B28" s="12" t="s">
        <v>113</v>
      </c>
      <c r="C28" s="12" t="s">
        <v>114</v>
      </c>
      <c r="D28" s="12" t="s">
        <v>115</v>
      </c>
      <c r="E28" s="12" t="s">
        <v>50</v>
      </c>
      <c r="F28" s="12" t="s">
        <v>34</v>
      </c>
      <c r="G28" s="12" t="s">
        <v>35</v>
      </c>
      <c r="H28" s="11">
        <v>2023</v>
      </c>
      <c r="I28" s="11">
        <v>171000</v>
      </c>
      <c r="J28" s="11" t="s">
        <v>36</v>
      </c>
      <c r="K28" s="13">
        <v>45685</v>
      </c>
      <c r="L28" s="11">
        <v>12</v>
      </c>
      <c r="M28" s="11">
        <v>3120</v>
      </c>
      <c r="N28" s="14">
        <f t="shared" si="0"/>
        <v>0.03</v>
      </c>
      <c r="O28" s="11">
        <f t="shared" si="1"/>
        <v>5130</v>
      </c>
      <c r="P28" s="11">
        <f t="shared" si="2"/>
        <v>8250</v>
      </c>
      <c r="Q28" s="11" t="str">
        <f t="shared" si="3"/>
        <v>VIP</v>
      </c>
      <c r="R28" s="15">
        <f t="shared" si="4"/>
        <v>14</v>
      </c>
    </row>
    <row r="29" spans="1:18" x14ac:dyDescent="0.25">
      <c r="A29" s="11">
        <v>28</v>
      </c>
      <c r="B29" s="12" t="s">
        <v>116</v>
      </c>
      <c r="C29" s="12" t="s">
        <v>117</v>
      </c>
      <c r="D29" s="12" t="s">
        <v>118</v>
      </c>
      <c r="E29" s="12" t="s">
        <v>33</v>
      </c>
      <c r="F29" s="12" t="s">
        <v>21</v>
      </c>
      <c r="G29" s="12" t="s">
        <v>41</v>
      </c>
      <c r="H29" s="11">
        <v>2010</v>
      </c>
      <c r="I29" s="11">
        <v>174000</v>
      </c>
      <c r="J29" s="11" t="s">
        <v>23</v>
      </c>
      <c r="K29" s="13">
        <v>45658</v>
      </c>
      <c r="L29" s="11">
        <v>12</v>
      </c>
      <c r="M29" s="11">
        <v>3180</v>
      </c>
      <c r="N29" s="14">
        <f t="shared" si="0"/>
        <v>0.05</v>
      </c>
      <c r="O29" s="11">
        <f t="shared" si="1"/>
        <v>8700</v>
      </c>
      <c r="P29" s="11">
        <f t="shared" si="2"/>
        <v>11880</v>
      </c>
      <c r="Q29" s="11" t="str">
        <f t="shared" si="3"/>
        <v>VIP</v>
      </c>
      <c r="R29" s="15">
        <f t="shared" si="4"/>
        <v>9</v>
      </c>
    </row>
    <row r="30" spans="1:18" x14ac:dyDescent="0.25">
      <c r="A30" s="11">
        <v>29</v>
      </c>
      <c r="B30" s="12" t="s">
        <v>119</v>
      </c>
      <c r="C30" s="12" t="s">
        <v>120</v>
      </c>
      <c r="D30" s="12" t="s">
        <v>121</v>
      </c>
      <c r="E30" s="12" t="s">
        <v>40</v>
      </c>
      <c r="F30" s="12" t="s">
        <v>27</v>
      </c>
      <c r="G30" s="12" t="s">
        <v>46</v>
      </c>
      <c r="H30" s="11">
        <v>2011</v>
      </c>
      <c r="I30" s="11">
        <v>177000</v>
      </c>
      <c r="J30" s="11" t="s">
        <v>29</v>
      </c>
      <c r="K30" s="13">
        <v>45659</v>
      </c>
      <c r="L30" s="11">
        <v>12</v>
      </c>
      <c r="M30" s="11">
        <v>3240</v>
      </c>
      <c r="N30" s="14">
        <f t="shared" si="0"/>
        <v>0.06</v>
      </c>
      <c r="O30" s="11">
        <f t="shared" si="1"/>
        <v>10620</v>
      </c>
      <c r="P30" s="11">
        <f t="shared" si="2"/>
        <v>13860</v>
      </c>
      <c r="Q30" s="11" t="str">
        <f t="shared" si="3"/>
        <v>VIP</v>
      </c>
      <c r="R30" s="15">
        <f t="shared" si="4"/>
        <v>5</v>
      </c>
    </row>
    <row r="31" spans="1:18" x14ac:dyDescent="0.25">
      <c r="A31" s="11">
        <v>30</v>
      </c>
      <c r="B31" s="12" t="s">
        <v>122</v>
      </c>
      <c r="C31" s="12" t="s">
        <v>123</v>
      </c>
      <c r="D31" s="12" t="s">
        <v>124</v>
      </c>
      <c r="E31" s="12" t="s">
        <v>45</v>
      </c>
      <c r="F31" s="12" t="s">
        <v>34</v>
      </c>
      <c r="G31" s="12" t="s">
        <v>51</v>
      </c>
      <c r="H31" s="11">
        <v>2012</v>
      </c>
      <c r="I31" s="11">
        <v>180000</v>
      </c>
      <c r="J31" s="11" t="s">
        <v>36</v>
      </c>
      <c r="K31" s="13">
        <v>45660</v>
      </c>
      <c r="L31" s="11">
        <v>12</v>
      </c>
      <c r="M31" s="11">
        <v>3300</v>
      </c>
      <c r="N31" s="14">
        <f t="shared" si="0"/>
        <v>0.03</v>
      </c>
      <c r="O31" s="11">
        <f t="shared" si="1"/>
        <v>5400</v>
      </c>
      <c r="P31" s="11">
        <f t="shared" si="2"/>
        <v>8700</v>
      </c>
      <c r="Q31" s="11" t="str">
        <f t="shared" si="3"/>
        <v>VIP</v>
      </c>
      <c r="R31" s="15">
        <f t="shared" si="4"/>
        <v>11</v>
      </c>
    </row>
    <row r="32" spans="1:18" x14ac:dyDescent="0.25">
      <c r="A32" s="11">
        <v>31</v>
      </c>
      <c r="B32" s="12" t="s">
        <v>125</v>
      </c>
      <c r="C32" s="12" t="s">
        <v>126</v>
      </c>
      <c r="D32" s="12" t="s">
        <v>127</v>
      </c>
      <c r="E32" s="12" t="s">
        <v>50</v>
      </c>
      <c r="F32" s="12" t="s">
        <v>21</v>
      </c>
      <c r="G32" s="12" t="s">
        <v>22</v>
      </c>
      <c r="H32" s="11">
        <v>2013</v>
      </c>
      <c r="I32" s="11">
        <v>183000</v>
      </c>
      <c r="J32" s="11" t="s">
        <v>23</v>
      </c>
      <c r="K32" s="13">
        <v>45661</v>
      </c>
      <c r="L32" s="11">
        <v>12</v>
      </c>
      <c r="M32" s="11">
        <v>3360</v>
      </c>
      <c r="N32" s="14">
        <f t="shared" si="0"/>
        <v>0.05</v>
      </c>
      <c r="O32" s="11">
        <f t="shared" si="1"/>
        <v>9150</v>
      </c>
      <c r="P32" s="11">
        <f t="shared" si="2"/>
        <v>12510</v>
      </c>
      <c r="Q32" s="11" t="str">
        <f t="shared" si="3"/>
        <v>VIP</v>
      </c>
      <c r="R32" s="15">
        <f t="shared" si="4"/>
        <v>7</v>
      </c>
    </row>
    <row r="33" spans="1:18" x14ac:dyDescent="0.25">
      <c r="A33" s="11">
        <v>32</v>
      </c>
      <c r="B33" s="12" t="s">
        <v>128</v>
      </c>
      <c r="C33" s="12" t="s">
        <v>129</v>
      </c>
      <c r="D33" s="12" t="s">
        <v>130</v>
      </c>
      <c r="E33" s="12" t="s">
        <v>33</v>
      </c>
      <c r="F33" s="12" t="s">
        <v>27</v>
      </c>
      <c r="G33" s="12" t="s">
        <v>28</v>
      </c>
      <c r="H33" s="11">
        <v>2014</v>
      </c>
      <c r="I33" s="11">
        <v>186000</v>
      </c>
      <c r="J33" s="11" t="s">
        <v>29</v>
      </c>
      <c r="K33" s="13">
        <v>45662</v>
      </c>
      <c r="L33" s="11">
        <v>12</v>
      </c>
      <c r="M33" s="11">
        <v>3420</v>
      </c>
      <c r="N33" s="14">
        <f t="shared" si="0"/>
        <v>0.06</v>
      </c>
      <c r="O33" s="11">
        <f t="shared" si="1"/>
        <v>11160</v>
      </c>
      <c r="P33" s="11">
        <f t="shared" si="2"/>
        <v>14580</v>
      </c>
      <c r="Q33" s="11" t="str">
        <f t="shared" si="3"/>
        <v>VIP</v>
      </c>
      <c r="R33" s="15">
        <f t="shared" si="4"/>
        <v>3</v>
      </c>
    </row>
    <row r="34" spans="1:18" x14ac:dyDescent="0.25">
      <c r="A34" s="11">
        <v>33</v>
      </c>
      <c r="B34" s="12" t="s">
        <v>131</v>
      </c>
      <c r="C34" s="12" t="s">
        <v>132</v>
      </c>
      <c r="D34" s="12" t="s">
        <v>133</v>
      </c>
      <c r="E34" s="12" t="s">
        <v>40</v>
      </c>
      <c r="F34" s="12" t="s">
        <v>34</v>
      </c>
      <c r="G34" s="12" t="s">
        <v>35</v>
      </c>
      <c r="H34" s="11">
        <v>2015</v>
      </c>
      <c r="I34" s="11">
        <v>189000</v>
      </c>
      <c r="J34" s="11" t="s">
        <v>36</v>
      </c>
      <c r="K34" s="13">
        <v>45663</v>
      </c>
      <c r="L34" s="11">
        <v>12</v>
      </c>
      <c r="M34" s="11">
        <v>3480</v>
      </c>
      <c r="N34" s="14">
        <f t="shared" si="0"/>
        <v>0.03</v>
      </c>
      <c r="O34" s="11">
        <f t="shared" si="1"/>
        <v>5670</v>
      </c>
      <c r="P34" s="11">
        <f t="shared" si="2"/>
        <v>9150</v>
      </c>
      <c r="Q34" s="11" t="str">
        <f t="shared" si="3"/>
        <v>VIP</v>
      </c>
      <c r="R34" s="15">
        <f t="shared" si="4"/>
        <v>8</v>
      </c>
    </row>
    <row r="35" spans="1:18" x14ac:dyDescent="0.25">
      <c r="A35" s="11">
        <v>34</v>
      </c>
      <c r="B35" s="12" t="s">
        <v>134</v>
      </c>
      <c r="C35" s="12" t="s">
        <v>135</v>
      </c>
      <c r="D35" s="12" t="s">
        <v>136</v>
      </c>
      <c r="E35" s="12" t="s">
        <v>45</v>
      </c>
      <c r="F35" s="12" t="s">
        <v>21</v>
      </c>
      <c r="G35" s="12" t="s">
        <v>41</v>
      </c>
      <c r="H35" s="11">
        <v>2016</v>
      </c>
      <c r="I35" s="11">
        <v>192000</v>
      </c>
      <c r="J35" s="11" t="s">
        <v>23</v>
      </c>
      <c r="K35" s="13">
        <v>45664</v>
      </c>
      <c r="L35" s="11">
        <v>12</v>
      </c>
      <c r="M35" s="11">
        <v>3540</v>
      </c>
      <c r="N35" s="14">
        <f t="shared" si="0"/>
        <v>0.05</v>
      </c>
      <c r="O35" s="11">
        <f t="shared" si="1"/>
        <v>9600</v>
      </c>
      <c r="P35" s="11">
        <f t="shared" si="2"/>
        <v>13140</v>
      </c>
      <c r="Q35" s="11" t="str">
        <f t="shared" si="3"/>
        <v>VIP</v>
      </c>
      <c r="R35" s="15">
        <f t="shared" si="4"/>
        <v>5</v>
      </c>
    </row>
    <row r="36" spans="1:18" x14ac:dyDescent="0.25">
      <c r="A36" s="11">
        <v>35</v>
      </c>
      <c r="B36" s="12" t="s">
        <v>137</v>
      </c>
      <c r="C36" s="12" t="s">
        <v>138</v>
      </c>
      <c r="D36" s="12" t="s">
        <v>139</v>
      </c>
      <c r="E36" s="12" t="s">
        <v>20</v>
      </c>
      <c r="F36" s="12" t="s">
        <v>27</v>
      </c>
      <c r="G36" s="12" t="s">
        <v>46</v>
      </c>
      <c r="H36" s="11">
        <v>2017</v>
      </c>
      <c r="I36" s="11">
        <v>195000</v>
      </c>
      <c r="J36" s="11" t="s">
        <v>29</v>
      </c>
      <c r="K36" s="13">
        <v>45665</v>
      </c>
      <c r="L36" s="11">
        <v>12</v>
      </c>
      <c r="M36" s="11">
        <v>3600</v>
      </c>
      <c r="N36" s="14">
        <f t="shared" si="0"/>
        <v>0.06</v>
      </c>
      <c r="O36" s="11">
        <f t="shared" si="1"/>
        <v>11700</v>
      </c>
      <c r="P36" s="11">
        <f t="shared" si="2"/>
        <v>15300</v>
      </c>
      <c r="Q36" s="11" t="str">
        <f t="shared" si="3"/>
        <v>VIP</v>
      </c>
      <c r="R36" s="15">
        <f t="shared" si="4"/>
        <v>2</v>
      </c>
    </row>
    <row r="37" spans="1:18" x14ac:dyDescent="0.25">
      <c r="A37" s="11">
        <v>36</v>
      </c>
      <c r="B37" s="12" t="s">
        <v>140</v>
      </c>
      <c r="C37" s="12" t="s">
        <v>141</v>
      </c>
      <c r="D37" s="12" t="s">
        <v>142</v>
      </c>
      <c r="E37" s="12" t="s">
        <v>50</v>
      </c>
      <c r="F37" s="12" t="s">
        <v>34</v>
      </c>
      <c r="G37" s="12" t="s">
        <v>51</v>
      </c>
      <c r="H37" s="11">
        <v>2018</v>
      </c>
      <c r="I37" s="11">
        <v>198000</v>
      </c>
      <c r="J37" s="11" t="s">
        <v>36</v>
      </c>
      <c r="K37" s="13">
        <v>45666</v>
      </c>
      <c r="L37" s="11">
        <v>12</v>
      </c>
      <c r="M37" s="11">
        <v>3660</v>
      </c>
      <c r="N37" s="14">
        <f t="shared" si="0"/>
        <v>0.03</v>
      </c>
      <c r="O37" s="11">
        <f t="shared" si="1"/>
        <v>5940</v>
      </c>
      <c r="P37" s="11">
        <f t="shared" si="2"/>
        <v>9600</v>
      </c>
      <c r="Q37" s="11" t="str">
        <f t="shared" si="3"/>
        <v>VIP</v>
      </c>
      <c r="R37" s="15">
        <f t="shared" si="4"/>
        <v>5</v>
      </c>
    </row>
    <row r="38" spans="1:18" x14ac:dyDescent="0.25">
      <c r="A38" s="11">
        <v>37</v>
      </c>
      <c r="B38" s="12" t="s">
        <v>143</v>
      </c>
      <c r="C38" s="12" t="s">
        <v>144</v>
      </c>
      <c r="D38" s="12" t="s">
        <v>145</v>
      </c>
      <c r="E38" s="12" t="s">
        <v>33</v>
      </c>
      <c r="F38" s="12" t="s">
        <v>21</v>
      </c>
      <c r="G38" s="12" t="s">
        <v>22</v>
      </c>
      <c r="H38" s="11">
        <v>2019</v>
      </c>
      <c r="I38" s="11">
        <v>201000</v>
      </c>
      <c r="J38" s="11" t="s">
        <v>23</v>
      </c>
      <c r="K38" s="13">
        <v>45667</v>
      </c>
      <c r="L38" s="11">
        <v>12</v>
      </c>
      <c r="M38" s="11">
        <v>3720</v>
      </c>
      <c r="N38" s="14">
        <f t="shared" si="0"/>
        <v>0.05</v>
      </c>
      <c r="O38" s="11">
        <f t="shared" si="1"/>
        <v>10050</v>
      </c>
      <c r="P38" s="11">
        <f t="shared" si="2"/>
        <v>13770</v>
      </c>
      <c r="Q38" s="11" t="str">
        <f t="shared" si="3"/>
        <v>VIP</v>
      </c>
      <c r="R38" s="15">
        <f t="shared" si="4"/>
        <v>3</v>
      </c>
    </row>
    <row r="39" spans="1:18" x14ac:dyDescent="0.25">
      <c r="A39" s="11">
        <v>38</v>
      </c>
      <c r="B39" s="12" t="s">
        <v>146</v>
      </c>
      <c r="C39" s="12" t="s">
        <v>147</v>
      </c>
      <c r="D39" s="12" t="s">
        <v>148</v>
      </c>
      <c r="E39" s="12" t="s">
        <v>40</v>
      </c>
      <c r="F39" s="12" t="s">
        <v>27</v>
      </c>
      <c r="G39" s="12" t="s">
        <v>28</v>
      </c>
      <c r="H39" s="11">
        <v>2020</v>
      </c>
      <c r="I39" s="11">
        <v>204000</v>
      </c>
      <c r="J39" s="11" t="s">
        <v>29</v>
      </c>
      <c r="K39" s="13">
        <v>45668</v>
      </c>
      <c r="L39" s="11">
        <v>12</v>
      </c>
      <c r="M39" s="11">
        <v>3780</v>
      </c>
      <c r="N39" s="14">
        <f t="shared" si="0"/>
        <v>0.06</v>
      </c>
      <c r="O39" s="11">
        <f t="shared" si="1"/>
        <v>12240</v>
      </c>
      <c r="P39" s="11">
        <f t="shared" si="2"/>
        <v>16020</v>
      </c>
      <c r="Q39" s="11" t="str">
        <f t="shared" si="3"/>
        <v>VIP</v>
      </c>
      <c r="R39" s="15">
        <f t="shared" si="4"/>
        <v>1</v>
      </c>
    </row>
    <row r="40" spans="1:18" x14ac:dyDescent="0.25">
      <c r="A40" s="11">
        <v>39</v>
      </c>
      <c r="B40" s="12" t="s">
        <v>149</v>
      </c>
      <c r="C40" s="12" t="s">
        <v>150</v>
      </c>
      <c r="D40" s="12" t="s">
        <v>151</v>
      </c>
      <c r="E40" s="12" t="s">
        <v>45</v>
      </c>
      <c r="F40" s="12" t="s">
        <v>34</v>
      </c>
      <c r="G40" s="12" t="s">
        <v>35</v>
      </c>
      <c r="H40" s="11">
        <v>2021</v>
      </c>
      <c r="I40" s="11">
        <v>207000</v>
      </c>
      <c r="J40" s="11" t="s">
        <v>36</v>
      </c>
      <c r="K40" s="13">
        <v>45669</v>
      </c>
      <c r="L40" s="11">
        <v>12</v>
      </c>
      <c r="M40" s="11">
        <v>3840</v>
      </c>
      <c r="N40" s="14">
        <f t="shared" si="0"/>
        <v>0.03</v>
      </c>
      <c r="O40" s="11">
        <f t="shared" si="1"/>
        <v>6210</v>
      </c>
      <c r="P40" s="11">
        <f t="shared" si="2"/>
        <v>10050</v>
      </c>
      <c r="Q40" s="11" t="str">
        <f t="shared" si="3"/>
        <v>VIP</v>
      </c>
      <c r="R40" s="15">
        <f t="shared" si="4"/>
        <v>2</v>
      </c>
    </row>
    <row r="41" spans="1:18" x14ac:dyDescent="0.25">
      <c r="A41" s="11">
        <v>40</v>
      </c>
      <c r="B41" s="12" t="s">
        <v>152</v>
      </c>
      <c r="C41" s="12" t="s">
        <v>153</v>
      </c>
      <c r="D41" s="12" t="s">
        <v>154</v>
      </c>
      <c r="E41" s="12" t="s">
        <v>20</v>
      </c>
      <c r="F41" s="12" t="s">
        <v>21</v>
      </c>
      <c r="G41" s="12" t="s">
        <v>41</v>
      </c>
      <c r="H41" s="11">
        <v>2022</v>
      </c>
      <c r="I41" s="11">
        <v>210000</v>
      </c>
      <c r="J41" s="11" t="s">
        <v>23</v>
      </c>
      <c r="K41" s="13">
        <v>45670</v>
      </c>
      <c r="L41" s="11">
        <v>12</v>
      </c>
      <c r="M41" s="11">
        <v>3900</v>
      </c>
      <c r="N41" s="14">
        <f t="shared" si="0"/>
        <v>0.05</v>
      </c>
      <c r="O41" s="11">
        <f t="shared" si="1"/>
        <v>10500</v>
      </c>
      <c r="P41" s="11">
        <f t="shared" si="2"/>
        <v>14400</v>
      </c>
      <c r="Q41" s="11" t="str">
        <f t="shared" si="3"/>
        <v>VIP</v>
      </c>
      <c r="R41" s="15">
        <f t="shared" si="4"/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front end</vt:lpstr>
      <vt:lpstr>Assurances_Auto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PC02</cp:lastModifiedBy>
  <dcterms:created xsi:type="dcterms:W3CDTF">2025-12-28T12:53:27Z</dcterms:created>
  <dcterms:modified xsi:type="dcterms:W3CDTF">2025-12-30T11:49:16Z</dcterms:modified>
</cp:coreProperties>
</file>